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fileSharing readOnlyRecommended="1"/>
  <workbookPr filterPrivacy="1"/>
  <xr:revisionPtr revIDLastSave="0" documentId="13_ncr:1_{8C280F16-E633-4FBD-A788-42D3BA0287B4}" xr6:coauthVersionLast="47" xr6:coauthVersionMax="47" xr10:uidLastSave="{00000000-0000-0000-0000-000000000000}"/>
  <bookViews>
    <workbookView xWindow="3480" yWindow="15" windowWidth="20460" windowHeight="15420" tabRatio="703" xr2:uid="{00000000-000D-0000-FFFF-FFFF00000000}"/>
  </bookViews>
  <sheets>
    <sheet name="表3-1" sheetId="1" r:id="rId1"/>
    <sheet name="表5-1" sheetId="16" r:id="rId2"/>
    <sheet name="表5-2 " sheetId="25" r:id="rId3"/>
    <sheet name="補足表2-1" sheetId="2" r:id="rId4"/>
    <sheet name="補足表2-2" sheetId="18" r:id="rId5"/>
    <sheet name="補足表2-3" sheetId="6" r:id="rId6"/>
    <sheet name="補足表3-1" sheetId="20" r:id="rId7"/>
    <sheet name="補足表3-2" sheetId="21" r:id="rId8"/>
    <sheet name="補足表3-3" sheetId="22" r:id="rId9"/>
    <sheet name="補足表3-4" sheetId="23" r:id="rId10"/>
    <sheet name="補足表3-5" sheetId="24" r:id="rId11"/>
    <sheet name="補足表3-6" sheetId="13" r:id="rId12"/>
    <sheet name="補足表3-7" sheetId="14" r:id="rId13"/>
    <sheet name="補足表4" sheetId="3" r:id="rId14"/>
    <sheet name="補足表6-1" sheetId="15" r:id="rId15"/>
    <sheet name="補足表7-1" sheetId="19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123Graph_A" hidden="1">#REF!</definedName>
    <definedName name="__123Graph_A?" hidden="1">#REF!</definedName>
    <definedName name="__123Graph_A78" hidden="1">#REF!</definedName>
    <definedName name="__123Graph_A79" hidden="1">#REF!</definedName>
    <definedName name="__123Graph_A80" hidden="1">#REF!</definedName>
    <definedName name="__123Graph_A81" hidden="1">#REF!</definedName>
    <definedName name="__123Graph_A82" hidden="1">#REF!</definedName>
    <definedName name="__123Graph_A83" hidden="1">#REF!</definedName>
    <definedName name="__123Graph_A84" hidden="1">#REF!</definedName>
    <definedName name="__123Graph_A85" hidden="1">#REF!</definedName>
    <definedName name="__123Graph_A86" hidden="1">#REF!</definedName>
    <definedName name="__123Graph_A87" hidden="1">#REF!</definedName>
    <definedName name="__123Graph_A87全年齢" hidden="1">#REF!</definedName>
    <definedName name="__123Graph_A88" hidden="1">#REF!</definedName>
    <definedName name="__123Graph_A88全年齢" hidden="1">#REF!</definedName>
    <definedName name="__123Graph_A89" hidden="1">#REF!</definedName>
    <definedName name="__123Graph_A89全年齢" hidden="1">#REF!</definedName>
    <definedName name="__123Graph_A90全年齢" hidden="1">#REF!</definedName>
    <definedName name="__123Graph_A91全年齢" hidden="1">#REF!</definedName>
    <definedName name="__123Graph_A92全年齢" hidden="1">#REF!</definedName>
    <definedName name="__123Graph_A93全年齢" hidden="1">#REF!</definedName>
    <definedName name="__123Graph_A延縄" hidden="1">#REF!</definedName>
    <definedName name="__123Graph_A沿岸" hidden="1">#REF!</definedName>
    <definedName name="__123Graph_A沿岸沖底尾数" hidden="1">#REF!</definedName>
    <definedName name="__123Graph_A沿岸沖底量" hidden="1">#REF!</definedName>
    <definedName name="__123Graph_A沖底" hidden="1">#REF!</definedName>
    <definedName name="__123Graph_A沖底･沿岸" hidden="1">#REF!</definedName>
    <definedName name="__123Graph_A沖底年齢" hidden="1">#REF!</definedName>
    <definedName name="__123Graph_A岩内湾年齢" hidden="1">#REF!</definedName>
    <definedName name="__123Graph_A漁獲尾数" hidden="1">#REF!</definedName>
    <definedName name="__123Graph_A漁獲量" hidden="1">#REF!</definedName>
    <definedName name="__123Graph_A漁業別" hidden="1">#REF!</definedName>
    <definedName name="__123Graph_A合計" hidden="1">#REF!</definedName>
    <definedName name="__123Graph_A合計年齢" hidden="1">#REF!</definedName>
    <definedName name="__123Graph_A刺網" hidden="1">#REF!</definedName>
    <definedName name="__123Graph_A石狩湾年齢" hidden="1">#REF!</definedName>
    <definedName name="__123Graph_A桧山年齢" hidden="1">#REF!</definedName>
    <definedName name="__123Graph_B" hidden="1">'[1]2003年度水試資料　沿岸沖底漁獲量'!#REF!</definedName>
    <definedName name="__123Graph_B?" hidden="1">#REF!</definedName>
    <definedName name="__123Graph_B延縄" hidden="1">#REF!</definedName>
    <definedName name="__123Graph_B沿岸" hidden="1">#REF!</definedName>
    <definedName name="__123Graph_B沿岸沖底尾数" hidden="1">#REF!</definedName>
    <definedName name="__123Graph_B沿岸沖底量" hidden="1">#REF!</definedName>
    <definedName name="__123Graph_B沖底" hidden="1">#REF!</definedName>
    <definedName name="__123Graph_B沖底･沿岸" hidden="1">#REF!</definedName>
    <definedName name="__123Graph_B漁獲尾数" hidden="1">#REF!</definedName>
    <definedName name="__123Graph_B漁獲量" hidden="1">#REF!</definedName>
    <definedName name="__123Graph_B漁業別" hidden="1">#REF!</definedName>
    <definedName name="__123Graph_B刺網" hidden="1">#REF!</definedName>
    <definedName name="__123Graph_C" hidden="1">'[1]2003年度水試資料　沿岸沖底漁獲量'!#REF!</definedName>
    <definedName name="__123Graph_C?" hidden="1">#REF!</definedName>
    <definedName name="__123Graph_C延縄" hidden="1">#REF!</definedName>
    <definedName name="__123Graph_C沿岸" hidden="1">#REF!</definedName>
    <definedName name="__123Graph_C沖底" hidden="1">#REF!</definedName>
    <definedName name="__123Graph_C漁獲尾数" hidden="1">#REF!</definedName>
    <definedName name="__123Graph_C漁獲量" hidden="1">#REF!</definedName>
    <definedName name="__123Graph_C漁業別" hidden="1">#REF!</definedName>
    <definedName name="__123Graph_D" hidden="1">'[1]2003年度水試資料　沿岸沖底漁獲量'!#REF!</definedName>
    <definedName name="__123Graph_D?" hidden="1">#REF!</definedName>
    <definedName name="__123Graph_D延縄" hidden="1">#REF!</definedName>
    <definedName name="__123Graph_D沿岸" hidden="1">#REF!</definedName>
    <definedName name="__123Graph_D漁獲尾数" hidden="1">#REF!</definedName>
    <definedName name="__123Graph_D漁獲量" hidden="1">#REF!</definedName>
    <definedName name="__123Graph_D漁業別" hidden="1">#REF!</definedName>
    <definedName name="__123Graph_E" hidden="1">'[1]2003年度水試資料　沿岸沖底漁獲量'!#REF!</definedName>
    <definedName name="__123Graph_E?" hidden="1">#REF!</definedName>
    <definedName name="__123Graph_E漁業別" hidden="1">#REF!</definedName>
    <definedName name="__123Graph_X" hidden="1">#REF!</definedName>
    <definedName name="__123Graph_X?" hidden="1">#REF!</definedName>
    <definedName name="__123Graph_X78" hidden="1">#REF!</definedName>
    <definedName name="__123Graph_X79" hidden="1">#REF!</definedName>
    <definedName name="__123Graph_X80" hidden="1">#REF!</definedName>
    <definedName name="__123Graph_X81" hidden="1">#REF!</definedName>
    <definedName name="__123Graph_X82" hidden="1">#REF!</definedName>
    <definedName name="__123Graph_X83" hidden="1">#REF!</definedName>
    <definedName name="__123Graph_X84" hidden="1">#REF!</definedName>
    <definedName name="__123Graph_X85" hidden="1">#REF!</definedName>
    <definedName name="__123Graph_X86" hidden="1">#REF!</definedName>
    <definedName name="__123Graph_X87" hidden="1">#REF!</definedName>
    <definedName name="__123Graph_X87全年齢" hidden="1">#REF!</definedName>
    <definedName name="__123Graph_X88" hidden="1">#REF!</definedName>
    <definedName name="__123Graph_X88全年齢" hidden="1">#REF!</definedName>
    <definedName name="__123Graph_X89" hidden="1">#REF!</definedName>
    <definedName name="__123Graph_X89全年齢" hidden="1">#REF!</definedName>
    <definedName name="__123Graph_X90全年齢" hidden="1">#REF!</definedName>
    <definedName name="__123Graph_X91全年齢" hidden="1">#REF!</definedName>
    <definedName name="__123Graph_X92全年齢" hidden="1">#REF!</definedName>
    <definedName name="__123Graph_X93全年齢" hidden="1">#REF!</definedName>
    <definedName name="__123Graph_X延縄" hidden="1">#REF!</definedName>
    <definedName name="__123Graph_X沿岸" hidden="1">#REF!</definedName>
    <definedName name="__123Graph_X沿岸沖底尾数" hidden="1">#REF!</definedName>
    <definedName name="__123Graph_X沿岸沖底量" hidden="1">#REF!</definedName>
    <definedName name="__123Graph_X沖底" hidden="1">#REF!</definedName>
    <definedName name="__123Graph_X沖底･沿岸" hidden="1">#REF!</definedName>
    <definedName name="__123Graph_X沖底年齢" hidden="1">#REF!</definedName>
    <definedName name="__123Graph_X岩内湾年齢" hidden="1">#REF!</definedName>
    <definedName name="__123Graph_X漁獲尾数" hidden="1">#REF!</definedName>
    <definedName name="__123Graph_X漁獲量" hidden="1">#REF!</definedName>
    <definedName name="__123Graph_X漁業別" hidden="1">#REF!</definedName>
    <definedName name="__123Graph_X合計" hidden="1">#REF!</definedName>
    <definedName name="__123Graph_X合計年齢" hidden="1">#REF!</definedName>
    <definedName name="__123Graph_X刺網" hidden="1">#REF!</definedName>
    <definedName name="__123Graph_X石狩湾年齢" hidden="1">#REF!</definedName>
    <definedName name="__123Graph_X桧山年齢" hidden="1">#REF!</definedName>
    <definedName name="_1__123Graph_Aｸﾞﾗﾌ_1" hidden="1">'[2]解析97-1昔です'!$C$106:$C$125</definedName>
    <definedName name="_10__123Graph_Cｸﾞﾗﾌ_2" hidden="1">'[2]解析97-1昔です'!$B$74:$U$74</definedName>
    <definedName name="_11__123Graph_Cｸﾞﾗﾌ_3" hidden="1">'[2]解析97-1昔です'!$B$64:$U$64</definedName>
    <definedName name="_12__123Graph_Cｸﾞﾗﾌ_4" hidden="1">'[2]解析97-1昔です'!$P$108:$P$128</definedName>
    <definedName name="_13__123Graph_Dｸﾞﾗﾌ_2" hidden="1">'[2]解析97-1昔です'!$B$75:$U$75</definedName>
    <definedName name="_14__123Graph_Dｸﾞﾗﾌ_3" hidden="1">'[2]解析97-1昔です'!$B$65:$U$65</definedName>
    <definedName name="_15__123Graph_Eｸﾞﾗﾌ_2" hidden="1">'[2]解析97-1昔です'!$B$76:$U$76</definedName>
    <definedName name="_16__123Graph_Eｸﾞﾗﾌ_3" hidden="1">'[2]解析97-1昔です'!$B$66:$U$66</definedName>
    <definedName name="_17__123Graph_Fｸﾞﾗﾌ_3" hidden="1">'[2]解析97-1昔です'!$B$67:$U$67</definedName>
    <definedName name="_18__123Graph_LBL_Aｸﾞﾗﾌ_1" hidden="1">'[2]解析97-1昔です'!$AD$90:$AD$109</definedName>
    <definedName name="_19__123Graph_LBL_Aｸﾞﾗﾌ_5" hidden="1">'[2]解析97-1昔です'!$AD$90:$AD$109</definedName>
    <definedName name="_1980_1994月別漁獲量集計">#REF!</definedName>
    <definedName name="_2__123Graph_Aｸﾞﾗﾌ_2" hidden="1">'[2]解析97-1昔です'!$B$72:$U$72</definedName>
    <definedName name="_20__123Graph_Xｸﾞﾗﾌ_1" hidden="1">'[2]解析97-1昔です'!$B$106:$B$125</definedName>
    <definedName name="_21__123Graph_Xｸﾞﾗﾌ_2" hidden="1">'[2]解析97-1昔です'!$B$71:$U$71</definedName>
    <definedName name="_22__123Graph_Xｸﾞﾗﾌ_3" hidden="1">'[2]解析97-1昔です'!$B$71:$U$71</definedName>
    <definedName name="_23__123Graph_Xｸﾞﾗﾌ_4" hidden="1">'[2]解析97-1昔です'!$M$108:$M$128</definedName>
    <definedName name="_24__123Graph_Xｸﾞﾗﾌ_5" hidden="1">'[2]解析97-1昔です'!$B$97:$U$97</definedName>
    <definedName name="_25__123Graph_Xｸﾞﾗﾌ_6" hidden="1">'[2]解析97-1昔です'!$B$141:$T$141</definedName>
    <definedName name="_3__123Graph_Aｸﾞﾗﾌ_3" hidden="1">'[2]解析97-1昔です'!$B$62:$U$62</definedName>
    <definedName name="_4__123Graph_Aｸﾞﾗﾌ_4" hidden="1">'[2]解析97-1昔です'!$N$108:$N$128</definedName>
    <definedName name="_5__123Graph_Aｸﾞﾗﾌ_5" hidden="1">'[2]解析97-1昔です'!$B$99:$U$99</definedName>
    <definedName name="_6__123Graph_Aｸﾞﾗﾌ_6" hidden="1">'[2]解析97-1昔です'!$B$151:$T$151</definedName>
    <definedName name="_7__123Graph_Bｸﾞﾗﾌ_2" hidden="1">'[2]解析97-1昔です'!$B$73:$U$73</definedName>
    <definedName name="_8__123Graph_Bｸﾞﾗﾌ_3" hidden="1">'[2]解析97-1昔です'!$B$63:$U$63</definedName>
    <definedName name="_9__123Graph_Bｸﾞﾗﾌ_4" hidden="1">'[2]解析97-1昔です'!$O$108:$O$128</definedName>
    <definedName name="_bdl2">'[3]Kcohort.bas results (2)'!$J$5</definedName>
    <definedName name="_bdl3">'[3]Kcohort.bas results (2)'!$J$6</definedName>
    <definedName name="_bdl4">'[3]Kcohort.bas results (2)'!$J$7</definedName>
    <definedName name="_bdl5">'[3]Kcohort.bas results (2)'!$J$8</definedName>
    <definedName name="_bdl6">'[3]Kcohort.bas results (2)'!$J$9</definedName>
    <definedName name="_bdl7">'[3]Kcohort.bas results (2)'!$J$10</definedName>
    <definedName name="_bdw1">'[3]Esitmation Exec'!$J$6</definedName>
    <definedName name="_bdw2">'[3]Esitmation Exec'!$J$7</definedName>
    <definedName name="_bdw3">'[3]Esitmation Exec'!$J$8</definedName>
    <definedName name="_bdw4">'[3]Esitmation Exec'!$J$9</definedName>
    <definedName name="_bdw5">'[3]Esitmation Exec'!$J$10</definedName>
    <definedName name="_bdw6">'[3]Esitmation Exec'!$J$11</definedName>
    <definedName name="_bdw7">'[3]Esitmation Exec'!$J$12</definedName>
    <definedName name="_Fill" hidden="1">[4]三陸!#REF!</definedName>
    <definedName name="_M1">'[3]YPR-org'!$H$27</definedName>
    <definedName name="_M2">'[3]YPR-org'!$H$33</definedName>
    <definedName name="_M3">'[3]YPR-org'!$H$39</definedName>
    <definedName name="_M4">'[3]YPR-org'!$H$45</definedName>
    <definedName name="_M5">'[3]YPR-org'!$H$51</definedName>
    <definedName name="_mat1">#REF!</definedName>
    <definedName name="_mat10">#REF!</definedName>
    <definedName name="_mat2">'[3]Esitmation Exec'!$K$7</definedName>
    <definedName name="_mat3">'[3]Esitmation Exec'!$K$8</definedName>
    <definedName name="_mat4">'[3]Esitmation Exec'!$K$9</definedName>
    <definedName name="_mat5">'[3]Esitmation Exec'!$K$10</definedName>
    <definedName name="_mat6">'[3]Esitmation Exec'!$K$11</definedName>
    <definedName name="_mat7">'[3]Esitmation Exec'!$K$12</definedName>
    <definedName name="_mat8">#REF!</definedName>
    <definedName name="_mat9">#REF!</definedName>
    <definedName name="_mo1">#REF!</definedName>
    <definedName name="_mo10">#REF!</definedName>
    <definedName name="_mo2">#REF!</definedName>
    <definedName name="_mo3">#REF!</definedName>
    <definedName name="_mo4">#REF!</definedName>
    <definedName name="_mo5">#REF!</definedName>
    <definedName name="_mo6">#REF!</definedName>
    <definedName name="_mo7">#REF!</definedName>
    <definedName name="_mo8">#REF!</definedName>
    <definedName name="_mo9">#REF!</definedName>
    <definedName name="_Mt1">#REF!</definedName>
    <definedName name="_mt10">#REF!</definedName>
    <definedName name="_Mt2">#REF!</definedName>
    <definedName name="_Mt3">#REF!</definedName>
    <definedName name="_Mt4">#REF!</definedName>
    <definedName name="_Mt5">#REF!</definedName>
    <definedName name="_Mt6">#REF!</definedName>
    <definedName name="_Mt7">#REF!</definedName>
    <definedName name="_Mt8">#REF!</definedName>
    <definedName name="_mt9">#REF!</definedName>
    <definedName name="_Order1" hidden="1">255</definedName>
    <definedName name="_Order2" hidden="1">255</definedName>
    <definedName name="_ppr10">#REF!</definedName>
    <definedName name="_ppr2">#REF!</definedName>
    <definedName name="_ppr3">#REF!</definedName>
    <definedName name="_ppr4">#REF!</definedName>
    <definedName name="_ppr5">#REF!</definedName>
    <definedName name="_ppr6">#REF!</definedName>
    <definedName name="_ppr7">#REF!</definedName>
    <definedName name="_ppr8">#REF!</definedName>
    <definedName name="_ppr9">#REF!</definedName>
    <definedName name="_pr1">#REF!</definedName>
    <definedName name="_pr10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9">#REF!</definedName>
    <definedName name="_prp1">#REF!</definedName>
    <definedName name="_prp2">#REF!</definedName>
    <definedName name="_prp3">#REF!</definedName>
    <definedName name="_prp4">#REF!</definedName>
    <definedName name="_prp5">#REF!</definedName>
    <definedName name="_prp6">#REF!</definedName>
    <definedName name="_prp7">#REF!</definedName>
    <definedName name="_prp8">#REF!</definedName>
    <definedName name="_pt1">'[3]Esitmation Exec'!$L$6</definedName>
    <definedName name="_pt2">'[3]Esitmation Exec'!$L$7</definedName>
    <definedName name="_pt3">'[3]Esitmation Exec'!$L$8</definedName>
    <definedName name="_pt4">'[3]Esitmation Exec'!$L$9</definedName>
    <definedName name="_pt5">'[3]Esitmation Exec'!$L$10</definedName>
    <definedName name="_pt6">'[3]Esitmation Exec'!$L$11</definedName>
    <definedName name="_pt7">'[3]Esitmation Exec'!$L$12</definedName>
    <definedName name="_qb2">#REF!</definedName>
    <definedName name="_qb3">#REF!</definedName>
    <definedName name="_qb4">#REF!</definedName>
    <definedName name="_qb5">#REF!</definedName>
    <definedName name="_qb6">#REF!</definedName>
    <definedName name="_Regression_Out" hidden="1">#REF!</definedName>
    <definedName name="_Regression_X" hidden="1">#REF!</definedName>
    <definedName name="_Regression_Y" hidden="1">#REF!</definedName>
    <definedName name="_RPS30">'[5]TVPA 1歳＋CPUE年齢別 結果 (2)'!$B$164</definedName>
    <definedName name="_RPS89">'[6]2005年度VPA (「基本シート」直近5年平均)'!$DC$69</definedName>
    <definedName name="_RPS96">#REF!</definedName>
    <definedName name="_SL1">#REF!</definedName>
    <definedName name="_SL10">#REF!</definedName>
    <definedName name="_SL2">#REF!</definedName>
    <definedName name="_SL3">#REF!</definedName>
    <definedName name="_SL4">#REF!</definedName>
    <definedName name="_SL5">#REF!</definedName>
    <definedName name="_SL6">#REF!</definedName>
    <definedName name="_SL7">#REF!</definedName>
    <definedName name="_SL8">#REF!</definedName>
    <definedName name="_SL9">#REF!</definedName>
    <definedName name="_SPR100">'[6]2005年度VPA (「基本シート」直近5年平均)'!$I$509</definedName>
    <definedName name="_wt1">#REF!</definedName>
    <definedName name="_wt10">#REF!</definedName>
    <definedName name="_wt2">#REF!</definedName>
    <definedName name="_wt3">#REF!</definedName>
    <definedName name="_wt4">#REF!</definedName>
    <definedName name="_wt5">#REF!</definedName>
    <definedName name="_wt6">#REF!</definedName>
    <definedName name="_wt7">#REF!</definedName>
    <definedName name="_wt8">#REF!</definedName>
    <definedName name="_wt9">#REF!</definedName>
    <definedName name="\a">#REF!</definedName>
    <definedName name="\b">'[7]991110大'!$IT$8014</definedName>
    <definedName name="\c">'[7]991110大'!$IT$8014</definedName>
    <definedName name="\d">'[7]991110大'!$IT$8014</definedName>
    <definedName name="\e">'[7]991110大'!$IT$8014</definedName>
    <definedName name="\f">'[7]991110大'!$IT$8014</definedName>
    <definedName name="\g">'[7]991110大'!$IT$8014</definedName>
    <definedName name="\h">'[7]991110大'!$IT$8014</definedName>
    <definedName name="A_0">'[3]YPR-org'!$E$14</definedName>
    <definedName name="A_1">'[3]YPR-org'!$E$15</definedName>
    <definedName name="A_2">'[3]YPR-org'!$E$16</definedName>
    <definedName name="A_3">'[3]YPR-org'!$E$17</definedName>
    <definedName name="alpha">#REF!</definedName>
    <definedName name="Balpha">'[3]Kcohort BH spr (2)'!$E$207</definedName>
    <definedName name="Bbeta">'[3]Kcohort BH spr (2)'!$E$208</definedName>
    <definedName name="beta">#REF!</definedName>
    <definedName name="Beta_1">[8]SRR!#REF!</definedName>
    <definedName name="Beta_2">[8]SRR!#REF!</definedName>
    <definedName name="Blimit">'[6]2005年度VPA (「基本シート」直近5年平均)'!$DA$86</definedName>
    <definedName name="BlimitS">[5]管理基準選定original!$U$56</definedName>
    <definedName name="bw.1">#REF!</definedName>
    <definedName name="bw.2">#REF!</definedName>
    <definedName name="bw.3">#REF!</definedName>
    <definedName name="bw.4">#REF!</definedName>
    <definedName name="bw.5">#REF!</definedName>
    <definedName name="bw.6">#REF!</definedName>
    <definedName name="BW_0">#REF!</definedName>
    <definedName name="Bw_1">#REF!</definedName>
    <definedName name="BW_10">#REF!</definedName>
    <definedName name="Bw_2">#REF!</definedName>
    <definedName name="Bw_3">#REF!</definedName>
    <definedName name="Bw_4">#REF!</definedName>
    <definedName name="Bw_5">#REF!</definedName>
    <definedName name="Bw_6">#REF!</definedName>
    <definedName name="Bw_7">#REF!</definedName>
    <definedName name="BW_8">#REF!</definedName>
    <definedName name="BW_9">#REF!</definedName>
    <definedName name="_xlnm.Criteria">'[7]991110大'!$A$3:$A$3</definedName>
    <definedName name="Criteria_MI">'[7]991110大'!$A$3:$A$3</definedName>
    <definedName name="F">'[3]YPR-org'!$B$7</definedName>
    <definedName name="F0.1">'[6]2005年度VPA (「基本シート」直近5年平均)'!$AQ$457</definedName>
    <definedName name="F30_SPR">#REF!</definedName>
    <definedName name="F30spr">[9]F30!$I$5</definedName>
    <definedName name="F40_SPR">#REF!</definedName>
    <definedName name="F89med">#REF!</definedName>
    <definedName name="F96_01med">[5]管理基準選定original!$B$170</definedName>
    <definedName name="Faveg">#REF!</definedName>
    <definedName name="Faveg2000">'[10]太平洋pr98a5 Ftarget P'!$E$176</definedName>
    <definedName name="Fc">#REF!</definedName>
    <definedName name="Fcurrent">'[6]2005年度VPA (「基本シート」直近5年平均)'!$AE$127</definedName>
    <definedName name="Ffull">#REF!</definedName>
    <definedName name="Ffuture">'[6]2005年度VPA (「基本シート」直近5年平均)'!$AG$116</definedName>
    <definedName name="Flimit">#REF!</definedName>
    <definedName name="Flimit2000">'[10]太平洋pr98a5 Ftarget P'!$E$148</definedName>
    <definedName name="Fmax">'[6]2005年度VPA (「基本シート」直近5年平均)'!$AK$457</definedName>
    <definedName name="Fmed">'[6]2005年度VPA (「基本シート」直近5年平均)'!$DC$72</definedName>
    <definedName name="Fmedall">'[6]2005年度VPA (「基本シート」直近5年平均)'!$DB$72</definedName>
    <definedName name="Fmedを実現するF_正解">#REF!</definedName>
    <definedName name="Fmsy">#REF!</definedName>
    <definedName name="Fpre1">'[3]Esitmation Exec'!$E$6</definedName>
    <definedName name="Fpre2">'[3]Esitmation Exec'!$E$7</definedName>
    <definedName name="Fpre3">'[3]Esitmation Exec'!$E$8</definedName>
    <definedName name="Fpre4">'[3]Esitmation Exec'!$E$9</definedName>
    <definedName name="Fpre5">'[3]Esitmation Exec'!$E$10</definedName>
    <definedName name="Fpre6">'[3]Esitmation Exec'!$E$11</definedName>
    <definedName name="Fpre7">'[3]Esitmation Exec'!$E$12</definedName>
    <definedName name="Fsim1">'[3]Esitmation Exec'!$B$33</definedName>
    <definedName name="Fsim2">'[3]Esitmation Exec'!$B$62</definedName>
    <definedName name="Fsim3">'[3]Esitmation Exec'!$B$92</definedName>
    <definedName name="Fsim4">'[3]Esitmation Exec'!$B$122</definedName>
    <definedName name="Fsim5">'[3]Esitmation Exec'!$B$152</definedName>
    <definedName name="Fsus">'[6]2005年度VPA (「基本シート」直近5年平均)'!$Z$95</definedName>
    <definedName name="Ft">#REF!</definedName>
    <definedName name="Ftarget">#REF!</definedName>
    <definedName name="Ftarget2000">'[10]太平洋pr98a5 Ftarget P'!$E$171</definedName>
    <definedName name="Fterminal">#REF!</definedName>
    <definedName name="InputM">#REF!</definedName>
    <definedName name="intercept">#REF!</definedName>
    <definedName name="K">'[3]YPR-org'!$B$4</definedName>
    <definedName name="Lt">'[3]cat F0.1'!$B$13</definedName>
    <definedName name="M">'[3]Esitmation Exec'!$B$6</definedName>
    <definedName name="mat.1">#REF!</definedName>
    <definedName name="mat.2">#REF!</definedName>
    <definedName name="mat.3">#REF!</definedName>
    <definedName name="mat.4">#REF!</definedName>
    <definedName name="mat.5">#REF!</definedName>
    <definedName name="mat.6">#REF!</definedName>
    <definedName name="mat.7">#REF!</definedName>
    <definedName name="mat0">#REF!</definedName>
    <definedName name="mo0">#REF!</definedName>
    <definedName name="Mt0">#REF!</definedName>
    <definedName name="n_0">'[3]YPR-org'!$C$14</definedName>
    <definedName name="n_1">'[3]YPR-org'!$C$15</definedName>
    <definedName name="n_2">'[3]YPR-org'!$C$16</definedName>
    <definedName name="n_3">'[3]YPR-org'!$C$17</definedName>
    <definedName name="n0">'[3]YPR-org'!$C$14</definedName>
    <definedName name="pcent">#REF!</definedName>
    <definedName name="pr0">#REF!</definedName>
    <definedName name="_xlnm.Print_Area">#REF!</definedName>
    <definedName name="PRINT_AREA_MI">#REF!</definedName>
    <definedName name="prp0">#REF!</definedName>
    <definedName name="q">'[11]★2007VPAFt5年RPSav10尾数 1LN'!$Y$593</definedName>
    <definedName name="qa">#REF!</definedName>
    <definedName name="qq">#REF!</definedName>
    <definedName name="qqq">#REF!</definedName>
    <definedName name="rate">'[12]1999年度襟裳西'!#REF!</definedName>
    <definedName name="Raveg">#REF!</definedName>
    <definedName name="Raveg2000">'[10]太平洋pr98a5 Ftarget P'!$B$161</definedName>
    <definedName name="Rmini">#REF!</definedName>
    <definedName name="rps">[9]Fmed!$AA$38</definedName>
    <definedName name="RPS96_01">[5]管理基準選定original!$B$169</definedName>
    <definedName name="RPSmed">#REF!</definedName>
    <definedName name="RPSmed_low">#REF!</definedName>
    <definedName name="RPSmed2000">#REF!</definedName>
    <definedName name="SL0">#REF!</definedName>
    <definedName name="SPR">'[13]Kcohort BH spr (2)'!$B$273</definedName>
    <definedName name="SPRF">#REF!</definedName>
    <definedName name="SPRt">'[13]Kcohort BH spr (2)'!$E$211</definedName>
    <definedName name="SSBaveg">#REF!</definedName>
    <definedName name="SSBaveg1mM">#REF!</definedName>
    <definedName name="SSBaveg1mM2000">'[10]太平洋pr98a5 Ftarget P'!$B$163</definedName>
    <definedName name="SSBaveg2000">'[10]太平洋pr98a5 Ftarget P'!$C$143</definedName>
    <definedName name="t0">'[3]YPR-org'!$B$5</definedName>
    <definedName name="tc">'[3]YPR-org'!$B$8</definedName>
    <definedName name="temp" hidden="1">'[14]解析97-1昔です'!$C$106:$C$125</definedName>
    <definedName name="temp10" hidden="1">'[14]解析97-1昔です'!$B$74:$U$74</definedName>
    <definedName name="temp11" hidden="1">'[14]解析97-1昔です'!$B$64:$U$64</definedName>
    <definedName name="temp12" hidden="1">'[14]解析97-1昔です'!$P$108:$P$128</definedName>
    <definedName name="temp13" hidden="1">'[14]解析97-1昔です'!$B$75:$U$75</definedName>
    <definedName name="temp14" hidden="1">'[14]解析97-1昔です'!$B$65:$U$65</definedName>
    <definedName name="temp15" hidden="1">'[14]解析97-1昔です'!$B$76:$U$76</definedName>
    <definedName name="temp16" hidden="1">'[14]解析97-1昔です'!$B$66:$U$66</definedName>
    <definedName name="temp17" hidden="1">'[14]解析97-1昔です'!$B$67:$U$67</definedName>
    <definedName name="temp18" hidden="1">'[14]解析97-1昔です'!$AD$90:$AD$109</definedName>
    <definedName name="temp19" hidden="1">'[14]解析97-1昔です'!$AD$90:$AD$109</definedName>
    <definedName name="temp2" hidden="1">'[14]解析97-1昔です'!$B$72:$U$72</definedName>
    <definedName name="temp20" hidden="1">'[14]解析97-1昔です'!$B$106:$B$125</definedName>
    <definedName name="temp21" hidden="1">'[14]解析97-1昔です'!$B$71:$U$71</definedName>
    <definedName name="temp22" hidden="1">'[14]解析97-1昔です'!$B$71:$U$71</definedName>
    <definedName name="temp23" hidden="1">'[14]解析97-1昔です'!$M$108:$M$128</definedName>
    <definedName name="temp24" hidden="1">'[14]解析97-1昔です'!$B$97:$U$97</definedName>
    <definedName name="temp25" hidden="1">'[14]解析97-1昔です'!$B$141:$T$141</definedName>
    <definedName name="temp26" hidden="1">[4]三陸!#REF!</definedName>
    <definedName name="temp28" hidden="1">#REF!</definedName>
    <definedName name="temp29" hidden="1">#REF!</definedName>
    <definedName name="temp3" hidden="1">'[14]解析97-1昔です'!$B$62:$U$62</definedName>
    <definedName name="temp30" hidden="1">#REF!</definedName>
    <definedName name="temp4" hidden="1">'[14]解析97-1昔です'!$N$108:$N$128</definedName>
    <definedName name="temp5" hidden="1">'[14]解析97-1昔です'!$B$99:$U$99</definedName>
    <definedName name="temp6" hidden="1">'[14]解析97-1昔です'!$B$151:$T$151</definedName>
    <definedName name="temp7" hidden="1">'[14]解析97-1昔です'!$B$73:$U$73</definedName>
    <definedName name="temp8" hidden="1">'[14]解析97-1昔です'!$B$63:$U$63</definedName>
    <definedName name="temp9" hidden="1">'[14]解析97-1昔です'!$O$108:$O$128</definedName>
    <definedName name="time">'[3]Kcohort.bas results (2)'!$J$2</definedName>
    <definedName name="tl">'[3]YPR-org'!$B$6</definedName>
    <definedName name="tr">'[3]YPR-org'!$B$10</definedName>
    <definedName name="Unit_g">'[13]wada-masaba'!$G$48</definedName>
    <definedName name="Unit_i">'[13]Cohort calclate'!$D$24</definedName>
    <definedName name="Unit_indiv">'[13]wada-masaba'!$E$25</definedName>
    <definedName name="Woo">'[3]YPR-org'!$B$3</definedName>
    <definedName name="wt0">#REF!</definedName>
    <definedName name="YPRmax">#REF!</definedName>
    <definedName name="α">[15]再生産・予測!$G$114</definedName>
    <definedName name="β">[15]再生産・予測!$F$114</definedName>
    <definedName name="現状のF正解">#REF!</definedName>
    <definedName name="山口_宏_計算例_Fmed">#REF!</definedName>
    <definedName name="選択率で漁獲尾数を補正">#REF!</definedName>
    <definedName name="表１_parameter">[16]コホート!$A$17</definedName>
    <definedName name="表２_catch">[16]コホート!$A$36</definedName>
    <definedName name="表３_N">[16]コホート!$A$53</definedName>
    <definedName name="表４_Ｆ">[16]コホート!$A$73</definedName>
    <definedName name="表５_biomass">[16]コホート!$A$89</definedName>
    <definedName name="表６_SSB">[16]コホート!$A$106</definedName>
    <definedName name="表７_SR">[16]コホート!$A$123</definedName>
  </definedName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<sst xmlns="http://schemas.openxmlformats.org/spreadsheetml/2006/main" count="396" uniqueCount="247">
  <si>
    <r>
      <rPr>
        <sz val="11"/>
        <rFont val="ＭＳ 明朝"/>
        <family val="1"/>
        <charset val="128"/>
      </rPr>
      <t>Ⅰ･Ⅱ区</t>
    </r>
    <rPh sb="3" eb="4">
      <t>ク</t>
    </rPh>
    <phoneticPr fontId="24"/>
  </si>
  <si>
    <r>
      <rPr>
        <sz val="11"/>
        <rFont val="ＭＳ 明朝"/>
        <family val="1"/>
        <charset val="128"/>
      </rPr>
      <t>Ⅰ</t>
    </r>
    <r>
      <rPr>
        <sz val="11"/>
        <rFont val="Times New Roman"/>
        <family val="1"/>
      </rPr>
      <t>~</t>
    </r>
    <r>
      <rPr>
        <sz val="11"/>
        <rFont val="ＭＳ 明朝"/>
        <family val="1"/>
        <charset val="128"/>
      </rPr>
      <t>Ⅳ区</t>
    </r>
    <rPh sb="3" eb="4">
      <t>ク</t>
    </rPh>
    <phoneticPr fontId="24"/>
  </si>
  <si>
    <t>移行域
加入量指数</t>
    <phoneticPr fontId="3"/>
  </si>
  <si>
    <t>未成魚
越冬群指数</t>
    <rPh sb="4" eb="6">
      <t>エットウ</t>
    </rPh>
    <rPh sb="6" eb="7">
      <t>ム</t>
    </rPh>
    <rPh sb="7" eb="9">
      <t>シスウ</t>
    </rPh>
    <phoneticPr fontId="3"/>
  </si>
  <si>
    <r>
      <t>表</t>
    </r>
    <r>
      <rPr>
        <sz val="11"/>
        <color theme="1"/>
        <rFont val="Times New Roman"/>
        <family val="1"/>
      </rPr>
      <t>5-2</t>
    </r>
    <r>
      <rPr>
        <sz val="11"/>
        <color theme="1"/>
        <rFont val="ＭＳ Ｐゴシック"/>
        <family val="2"/>
        <charset val="128"/>
        <scheme val="minor"/>
      </rPr>
      <t>.　将来の親魚量（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Ｐゴシック"/>
        <family val="2"/>
        <charset val="128"/>
        <scheme val="minor"/>
      </rPr>
      <t>）および漁獲量（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Ｐゴシック"/>
        <family val="2"/>
        <charset val="128"/>
        <scheme val="minor"/>
      </rPr>
      <t>）の平均値の推移</t>
    </r>
    <rPh sb="18" eb="21">
      <t>ギョカクリョウ</t>
    </rPh>
    <rPh sb="25" eb="28">
      <t>ヘイキンチ</t>
    </rPh>
    <rPh sb="29" eb="31">
      <t>スイイ</t>
    </rPh>
    <phoneticPr fontId="3"/>
  </si>
  <si>
    <t>β</t>
  </si>
  <si>
    <t>0歳</t>
  </si>
  <si>
    <t>1歳</t>
  </si>
  <si>
    <t>2歳</t>
  </si>
  <si>
    <t>3歳</t>
  </si>
  <si>
    <t>4歳</t>
  </si>
  <si>
    <t>%SPR</t>
  </si>
  <si>
    <t>F/Fmsy</t>
  </si>
  <si>
    <t>RPS</t>
  </si>
  <si>
    <r>
      <t>選択率（注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）</t>
    </r>
    <rPh sb="4" eb="5">
      <t>チュウ</t>
    </rPh>
    <phoneticPr fontId="3"/>
  </si>
  <si>
    <r>
      <t xml:space="preserve">Fmsy
</t>
    </r>
    <r>
      <rPr>
        <sz val="11"/>
        <color theme="1"/>
        <rFont val="ＭＳ Ｐ明朝"/>
        <family val="1"/>
        <charset val="128"/>
      </rPr>
      <t>（注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）</t>
    </r>
    <rPh sb="6" eb="7">
      <t>チュウ</t>
    </rPh>
    <phoneticPr fontId="3"/>
  </si>
  <si>
    <r>
      <t>平均体重
(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明朝"/>
        <family val="1"/>
        <charset val="128"/>
      </rPr>
      <t>)</t>
    </r>
    <phoneticPr fontId="3"/>
  </si>
  <si>
    <t>自然死亡係数</t>
    <rPh sb="4" eb="6">
      <t>ケイスウ</t>
    </rPh>
    <phoneticPr fontId="3"/>
  </si>
  <si>
    <t>成熟割合</t>
    <rPh sb="2" eb="4">
      <t>ワリアイ</t>
    </rPh>
    <phoneticPr fontId="3"/>
  </si>
  <si>
    <r>
      <t>0</t>
    </r>
    <r>
      <rPr>
        <sz val="10.5"/>
        <color theme="1"/>
        <rFont val="ＭＳ 明朝"/>
        <family val="1"/>
        <charset val="128"/>
      </rPr>
      <t>歳</t>
    </r>
  </si>
  <si>
    <t>0.0</t>
    <phoneticPr fontId="3"/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</si>
  <si>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</si>
  <si>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</si>
  <si>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t>1.0</t>
    <phoneticPr fontId="3"/>
  </si>
  <si>
    <r>
      <t>3</t>
    </r>
    <r>
      <rPr>
        <sz val="10.5"/>
        <color theme="1"/>
        <rFont val="ＭＳ 明朝"/>
        <family val="1"/>
        <charset val="128"/>
      </rPr>
      <t>歳</t>
    </r>
  </si>
  <si>
    <t>1.00</t>
    <phoneticPr fontId="3"/>
  </si>
  <si>
    <t>0.50</t>
    <phoneticPr fontId="3"/>
  </si>
  <si>
    <r>
      <t>4</t>
    </r>
    <r>
      <rPr>
        <sz val="10.5"/>
        <color theme="1"/>
        <rFont val="ＭＳ 明朝"/>
        <family val="1"/>
        <charset val="128"/>
      </rPr>
      <t>歳</t>
    </r>
  </si>
  <si>
    <r>
      <t>5</t>
    </r>
    <r>
      <rPr>
        <sz val="10.5"/>
        <color theme="1"/>
        <rFont val="ＭＳ 明朝"/>
        <family val="1"/>
        <charset val="128"/>
      </rPr>
      <t>歳以上</t>
    </r>
  </si>
  <si>
    <t>注1：　令和2年度研究機関会議でMSYを実現する水準の推定の際に使用した選択率（すなわち、令和元年度資源評価でのFcurrentの選択率）。</t>
  </si>
  <si>
    <t>注2：　令和2年度研究機関会議で推定されたFmsy（すなわち、令和元年度資源評価でのFcurrentにFmsy/Fcurrentを掛けたもの）。</t>
  </si>
  <si>
    <t>現状の漁獲圧</t>
  </si>
  <si>
    <t>2024年の漁獲量は現状の漁獲圧（F2021-2023）から予測される96.5万トンとし、2025年から漁獲シナリオによる漁獲とした。</t>
    <rPh sb="52" eb="54">
      <t>ギョカク</t>
    </rPh>
    <phoneticPr fontId="3"/>
  </si>
  <si>
    <t>2025年はβを1.30とし、2026以降はβを0.0～1.0で変更した場合の将来予測の結果を示す。</t>
  </si>
  <si>
    <t>年齢＼年</t>
    <rPh sb="0" eb="2">
      <t>ネンレイ</t>
    </rPh>
    <rPh sb="3" eb="4">
      <t>ネン</t>
    </rPh>
    <phoneticPr fontId="38"/>
  </si>
  <si>
    <r>
      <t>5</t>
    </r>
    <r>
      <rPr>
        <sz val="12"/>
        <rFont val="ＭＳ 明朝"/>
        <family val="1"/>
        <charset val="128"/>
      </rPr>
      <t>歳以上</t>
    </r>
    <rPh sb="2" eb="4">
      <t>イジョウ</t>
    </rPh>
    <phoneticPr fontId="38"/>
  </si>
  <si>
    <r>
      <t xml:space="preserve"> </t>
    </r>
    <r>
      <rPr>
        <sz val="12"/>
        <rFont val="ＭＳ 明朝"/>
        <family val="1"/>
        <charset val="128"/>
      </rPr>
      <t>年齢別漁獲量（千トン）</t>
    </r>
    <rPh sb="6" eb="7">
      <t>ジュウリョウ</t>
    </rPh>
    <rPh sb="8" eb="9">
      <t>セン</t>
    </rPh>
    <phoneticPr fontId="38"/>
  </si>
  <si>
    <r>
      <t xml:space="preserve"> </t>
    </r>
    <r>
      <rPr>
        <sz val="12"/>
        <rFont val="ＭＳ 明朝"/>
        <family val="1"/>
        <charset val="128"/>
      </rPr>
      <t>年齢別資源量（千トン）､親魚量（千トン）、再生産成功率（</t>
    </r>
    <r>
      <rPr>
        <sz val="12"/>
        <rFont val="Times New Roman"/>
        <family val="1"/>
      </rPr>
      <t>RPS</t>
    </r>
    <r>
      <rPr>
        <sz val="12"/>
        <rFont val="ＭＳ 明朝"/>
        <family val="1"/>
        <charset val="128"/>
      </rPr>
      <t>、尾</t>
    </r>
    <r>
      <rPr>
        <sz val="12"/>
        <rFont val="Times New Roman"/>
        <family val="1"/>
      </rPr>
      <t>/kg</t>
    </r>
    <r>
      <rPr>
        <sz val="12"/>
        <rFont val="ＭＳ 明朝"/>
        <family val="1"/>
        <charset val="128"/>
      </rPr>
      <t>）</t>
    </r>
    <rPh sb="4" eb="6">
      <t>シゲン</t>
    </rPh>
    <rPh sb="6" eb="7">
      <t>ジュウリョウ</t>
    </rPh>
    <rPh sb="8" eb="9">
      <t>セン</t>
    </rPh>
    <rPh sb="13" eb="16">
      <t>シンギョリョウ</t>
    </rPh>
    <rPh sb="17" eb="18">
      <t>セン</t>
    </rPh>
    <rPh sb="22" eb="25">
      <t>サイセイサン</t>
    </rPh>
    <rPh sb="25" eb="28">
      <t>セイコウリツ</t>
    </rPh>
    <rPh sb="33" eb="34">
      <t>ビ</t>
    </rPh>
    <phoneticPr fontId="38"/>
  </si>
  <si>
    <r>
      <rPr>
        <sz val="12"/>
        <rFont val="ＭＳ 明朝"/>
        <family val="1"/>
        <charset val="128"/>
      </rPr>
      <t>年齢別平均体重（</t>
    </r>
    <r>
      <rPr>
        <sz val="12"/>
        <rFont val="Times New Roman"/>
        <family val="1"/>
      </rPr>
      <t>g</t>
    </r>
    <r>
      <rPr>
        <sz val="12"/>
        <rFont val="ＭＳ 明朝"/>
        <family val="1"/>
        <charset val="128"/>
      </rPr>
      <t>）</t>
    </r>
    <rPh sb="0" eb="3">
      <t>ネンレイベツ</t>
    </rPh>
    <rPh sb="3" eb="5">
      <t>ヘイキン</t>
    </rPh>
    <rPh sb="5" eb="7">
      <t>タイジュウ</t>
    </rPh>
    <phoneticPr fontId="38"/>
  </si>
  <si>
    <t>59.77*</t>
  </si>
  <si>
    <t>1.00**</t>
  </si>
  <si>
    <r>
      <t>F2021</t>
    </r>
    <r>
      <rPr>
        <sz val="11"/>
        <color theme="1"/>
        <rFont val="Yu Gothic"/>
        <family val="1"/>
        <charset val="128"/>
      </rPr>
      <t>～</t>
    </r>
    <r>
      <rPr>
        <sz val="11"/>
        <color theme="1"/>
        <rFont val="Times New Roman"/>
        <family val="1"/>
      </rPr>
      <t xml:space="preserve">2023
</t>
    </r>
    <r>
      <rPr>
        <sz val="11"/>
        <color theme="1"/>
        <rFont val="ＭＳ Ｐ明朝"/>
        <family val="1"/>
        <charset val="128"/>
      </rPr>
      <t>（注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Ｐ明朝"/>
        <family val="1"/>
        <charset val="128"/>
      </rPr>
      <t>）</t>
    </r>
    <rPh sb="12" eb="13">
      <t>チュウ</t>
    </rPh>
    <phoneticPr fontId="3"/>
  </si>
  <si>
    <r>
      <t>補足表</t>
    </r>
    <r>
      <rPr>
        <sz val="11"/>
        <color theme="1"/>
        <rFont val="Times New Roman"/>
        <family val="1"/>
      </rPr>
      <t>2-3.</t>
    </r>
    <r>
      <rPr>
        <sz val="11"/>
        <color theme="1"/>
        <rFont val="ＭＳ Ｐゴシック"/>
        <family val="2"/>
        <charset val="128"/>
        <scheme val="minor"/>
      </rPr>
      <t>　将来予測のパラメータ</t>
    </r>
    <phoneticPr fontId="3"/>
  </si>
  <si>
    <t>0.80</t>
    <phoneticPr fontId="3"/>
  </si>
  <si>
    <r>
      <t>2024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2025</t>
    </r>
    <r>
      <rPr>
        <sz val="11"/>
        <color theme="1"/>
        <rFont val="ＭＳ 明朝"/>
        <family val="1"/>
        <charset val="128"/>
      </rPr>
      <t>年</t>
    </r>
    <rPh sb="9" eb="10">
      <t>ネン</t>
    </rPh>
    <phoneticPr fontId="3"/>
  </si>
  <si>
    <r>
      <t>2026</t>
    </r>
    <r>
      <rPr>
        <sz val="11"/>
        <color theme="1"/>
        <rFont val="ＭＳ 明朝"/>
        <family val="1"/>
        <charset val="128"/>
      </rPr>
      <t>年以降</t>
    </r>
    <rPh sb="4" eb="5">
      <t>ネン</t>
    </rPh>
    <rPh sb="5" eb="7">
      <t>イコウ</t>
    </rPh>
    <phoneticPr fontId="3"/>
  </si>
  <si>
    <t>注3：　今回の資源評価で推定された2021～2023年の年齢別のFの単純平均として算出した。このF値は2024年の漁獲量の仮定に使用した。</t>
    <phoneticPr fontId="3"/>
  </si>
  <si>
    <r>
      <rPr>
        <sz val="11"/>
        <rFont val="Osaka"/>
        <family val="3"/>
        <charset val="128"/>
      </rPr>
      <t>※</t>
    </r>
    <r>
      <rPr>
        <sz val="11"/>
        <rFont val="Times New Roman"/>
        <family val="1"/>
      </rPr>
      <t>5,000</t>
    </r>
    <r>
      <rPr>
        <sz val="11"/>
        <rFont val="Osaka"/>
        <family val="3"/>
        <charset val="128"/>
      </rPr>
      <t>回の繰り返し計算を行った平均値である。</t>
    </r>
    <phoneticPr fontId="3"/>
  </si>
  <si>
    <t>①</t>
    <phoneticPr fontId="43"/>
  </si>
  <si>
    <t>②</t>
    <phoneticPr fontId="43"/>
  </si>
  <si>
    <t>③</t>
    <phoneticPr fontId="43"/>
  </si>
  <si>
    <t>④</t>
    <phoneticPr fontId="43"/>
  </si>
  <si>
    <t>SSB</t>
    <phoneticPr fontId="43"/>
  </si>
  <si>
    <t>-</t>
    <phoneticPr fontId="43"/>
  </si>
  <si>
    <t>q</t>
    <phoneticPr fontId="43"/>
  </si>
  <si>
    <t>b</t>
    <phoneticPr fontId="43"/>
  </si>
  <si>
    <t>指標値</t>
    <phoneticPr fontId="43"/>
  </si>
  <si>
    <t>対象</t>
    <phoneticPr fontId="43"/>
  </si>
  <si>
    <r>
      <t>N</t>
    </r>
    <r>
      <rPr>
        <vertAlign val="subscript"/>
        <sz val="11"/>
        <color theme="1"/>
        <rFont val="ＭＳ Ｐゴシック"/>
        <family val="3"/>
        <charset val="128"/>
        <scheme val="minor"/>
      </rPr>
      <t>0</t>
    </r>
    <phoneticPr fontId="43"/>
  </si>
  <si>
    <r>
      <t>N</t>
    </r>
    <r>
      <rPr>
        <vertAlign val="subscript"/>
        <sz val="11"/>
        <color theme="1"/>
        <rFont val="ＭＳ Ｐゴシック"/>
        <family val="3"/>
        <charset val="128"/>
        <scheme val="minor"/>
      </rPr>
      <t>1</t>
    </r>
    <phoneticPr fontId="43"/>
  </si>
  <si>
    <t>F2021-2023</t>
    <phoneticPr fontId="3"/>
  </si>
  <si>
    <t>年齢別漁獲係数</t>
    <rPh sb="0" eb="3">
      <t>ネンレイベツ</t>
    </rPh>
    <rPh sb="3" eb="7">
      <t>ギョカクケイスウ</t>
    </rPh>
    <phoneticPr fontId="24"/>
  </si>
  <si>
    <r>
      <rPr>
        <sz val="12"/>
        <rFont val="ＭＳ 明朝"/>
        <family val="1"/>
        <charset val="128"/>
      </rPr>
      <t>年齢＼年</t>
    </r>
    <rPh sb="0" eb="2">
      <t>ネンレイ</t>
    </rPh>
    <rPh sb="3" eb="4">
      <t>ネン</t>
    </rPh>
    <phoneticPr fontId="24"/>
  </si>
  <si>
    <r>
      <t>0</t>
    </r>
    <r>
      <rPr>
        <sz val="12"/>
        <rFont val="ＭＳ 明朝"/>
        <family val="1"/>
        <charset val="128"/>
      </rPr>
      <t>歳</t>
    </r>
    <rPh sb="1" eb="2">
      <t>サイ</t>
    </rPh>
    <phoneticPr fontId="24"/>
  </si>
  <si>
    <r>
      <t>1</t>
    </r>
    <r>
      <rPr>
        <sz val="12"/>
        <rFont val="ＭＳ 明朝"/>
        <family val="1"/>
        <charset val="128"/>
      </rPr>
      <t>歳</t>
    </r>
    <rPh sb="1" eb="2">
      <t>サイ</t>
    </rPh>
    <phoneticPr fontId="24"/>
  </si>
  <si>
    <r>
      <t>2</t>
    </r>
    <r>
      <rPr>
        <sz val="12"/>
        <rFont val="ＭＳ 明朝"/>
        <family val="1"/>
        <charset val="128"/>
      </rPr>
      <t>歳</t>
    </r>
    <rPh sb="1" eb="2">
      <t>サイ</t>
    </rPh>
    <phoneticPr fontId="24"/>
  </si>
  <si>
    <r>
      <t>3</t>
    </r>
    <r>
      <rPr>
        <sz val="12"/>
        <rFont val="ＭＳ 明朝"/>
        <family val="1"/>
        <charset val="128"/>
      </rPr>
      <t>歳</t>
    </r>
    <rPh sb="1" eb="2">
      <t>サイ</t>
    </rPh>
    <phoneticPr fontId="24"/>
  </si>
  <si>
    <r>
      <t>4</t>
    </r>
    <r>
      <rPr>
        <sz val="12"/>
        <rFont val="ＭＳ 明朝"/>
        <family val="1"/>
        <charset val="128"/>
      </rPr>
      <t>歳</t>
    </r>
    <rPh sb="1" eb="2">
      <t>サイ</t>
    </rPh>
    <phoneticPr fontId="24"/>
  </si>
  <si>
    <r>
      <t>5</t>
    </r>
    <r>
      <rPr>
        <sz val="12"/>
        <rFont val="ＭＳ 明朝"/>
        <family val="1"/>
        <charset val="128"/>
      </rPr>
      <t>歳以上</t>
    </r>
    <rPh sb="1" eb="2">
      <t>サイ</t>
    </rPh>
    <rPh sb="2" eb="4">
      <t>イジョウ</t>
    </rPh>
    <phoneticPr fontId="24"/>
  </si>
  <si>
    <t>単純平均</t>
    <rPh sb="0" eb="2">
      <t>タンジュン</t>
    </rPh>
    <rPh sb="2" eb="4">
      <t>カジュウヘイキン</t>
    </rPh>
    <phoneticPr fontId="24"/>
  </si>
  <si>
    <r>
      <t>年齢別平均資源尾数（百万尾）</t>
    </r>
    <r>
      <rPr>
        <vertAlign val="superscript"/>
        <sz val="12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9">
      <t>シゲンビスウ</t>
    </rPh>
    <rPh sb="10" eb="13">
      <t>ヒャクマンビ</t>
    </rPh>
    <phoneticPr fontId="24"/>
  </si>
  <si>
    <r>
      <rPr>
        <sz val="12"/>
        <rFont val="ＭＳ 明朝"/>
        <family val="1"/>
        <charset val="128"/>
      </rPr>
      <t>計</t>
    </r>
    <rPh sb="0" eb="1">
      <t>ケイ</t>
    </rPh>
    <phoneticPr fontId="24"/>
  </si>
  <si>
    <r>
      <t>年齢別平均資源量（千トン）</t>
    </r>
    <r>
      <rPr>
        <vertAlign val="superscript"/>
        <sz val="12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8">
      <t>シゲンリョウ</t>
    </rPh>
    <rPh sb="9" eb="10">
      <t>セン</t>
    </rPh>
    <phoneticPr fontId="24"/>
  </si>
  <si>
    <t>親魚量</t>
    <rPh sb="0" eb="3">
      <t>シンギョリョウ</t>
    </rPh>
    <phoneticPr fontId="43"/>
  </si>
  <si>
    <r>
      <t>年齢別平均漁獲尾数（百万尾）</t>
    </r>
    <r>
      <rPr>
        <vertAlign val="superscript"/>
        <sz val="12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7">
      <t>ギョカク</t>
    </rPh>
    <rPh sb="7" eb="9">
      <t>ビスウ</t>
    </rPh>
    <rPh sb="10" eb="12">
      <t>ヒャクマン</t>
    </rPh>
    <rPh sb="12" eb="13">
      <t>オ</t>
    </rPh>
    <phoneticPr fontId="24"/>
  </si>
  <si>
    <r>
      <t>年齢別漁獲量（千トン）</t>
    </r>
    <r>
      <rPr>
        <vertAlign val="superscript"/>
        <sz val="12"/>
        <rFont val="ＭＳ 明朝"/>
        <family val="1"/>
        <charset val="128"/>
      </rPr>
      <t>※</t>
    </r>
    <rPh sb="0" eb="3">
      <t>ネンレイベツ</t>
    </rPh>
    <rPh sb="3" eb="6">
      <t>ギョカクリョウ</t>
    </rPh>
    <rPh sb="7" eb="8">
      <t>セン</t>
    </rPh>
    <phoneticPr fontId="24"/>
  </si>
  <si>
    <t>漁獲割合</t>
    <rPh sb="0" eb="4">
      <t>ギョカクワリアイ</t>
    </rPh>
    <phoneticPr fontId="24"/>
  </si>
  <si>
    <t>TAC</t>
    <phoneticPr fontId="3"/>
  </si>
  <si>
    <r>
      <rPr>
        <sz val="11"/>
        <rFont val="ＭＳ 明朝"/>
        <family val="1"/>
        <charset val="128"/>
      </rPr>
      <t>年</t>
    </r>
  </si>
  <si>
    <r>
      <rPr>
        <sz val="11"/>
        <rFont val="ＭＳ 明朝"/>
        <family val="1"/>
        <charset val="128"/>
      </rPr>
      <t>漁獲量　（万トン）</t>
    </r>
    <rPh sb="0" eb="2">
      <t>ギョカク</t>
    </rPh>
    <rPh sb="2" eb="3">
      <t>リョウ</t>
    </rPh>
    <rPh sb="5" eb="6">
      <t>マン</t>
    </rPh>
    <phoneticPr fontId="30"/>
  </si>
  <si>
    <r>
      <rPr>
        <sz val="11"/>
        <rFont val="ＭＳ 明朝"/>
        <family val="1"/>
        <charset val="128"/>
      </rPr>
      <t>漁獲
割合
（</t>
    </r>
    <r>
      <rPr>
        <sz val="11"/>
        <rFont val="Times New Roman"/>
        <family val="1"/>
      </rPr>
      <t>%</t>
    </r>
    <r>
      <rPr>
        <sz val="11"/>
        <rFont val="ＭＳ 明朝"/>
        <family val="1"/>
        <charset val="128"/>
      </rPr>
      <t>）</t>
    </r>
    <rPh sb="0" eb="2">
      <t>ギョカク</t>
    </rPh>
    <rPh sb="3" eb="5">
      <t>ワリアイ</t>
    </rPh>
    <phoneticPr fontId="30"/>
  </si>
  <si>
    <r>
      <rPr>
        <sz val="11"/>
        <rFont val="ＭＳ 明朝"/>
        <family val="1"/>
        <charset val="128"/>
      </rPr>
      <t>三重県
以東</t>
    </r>
    <phoneticPr fontId="4"/>
  </si>
  <si>
    <r>
      <rPr>
        <sz val="11"/>
        <rFont val="ＭＳ 明朝"/>
        <family val="1"/>
        <charset val="128"/>
      </rPr>
      <t>和歌山県
以西</t>
    </r>
    <phoneticPr fontId="4"/>
  </si>
  <si>
    <r>
      <rPr>
        <sz val="11"/>
        <color theme="1"/>
        <rFont val="ＭＳ Ｐゴシック"/>
        <family val="3"/>
        <charset val="128"/>
      </rPr>
      <t>令和</t>
    </r>
    <r>
      <rPr>
        <sz val="11"/>
        <color theme="1"/>
        <rFont val="Times New Roman"/>
        <family val="1"/>
      </rPr>
      <t>6(2024)</t>
    </r>
    <r>
      <rPr>
        <sz val="11"/>
        <color theme="1"/>
        <rFont val="ＭＳ Ｐゴシック"/>
        <family val="3"/>
        <charset val="128"/>
      </rPr>
      <t>年度マイワシ太平洋系群の資源評価のデータセット</t>
    </r>
    <rPh sb="0" eb="2">
      <t>レイワ</t>
    </rPh>
    <rPh sb="15" eb="18">
      <t>タイヘイヨウ</t>
    </rPh>
    <rPh sb="18" eb="19">
      <t>ケイ</t>
    </rPh>
    <rPh sb="19" eb="20">
      <t>グン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</si>
  <si>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 xml:space="preserve">3-1. </t>
    </r>
    <r>
      <rPr>
        <sz val="11"/>
        <color theme="1"/>
        <rFont val="ＭＳ 明朝"/>
        <family val="1"/>
        <charset val="128"/>
      </rPr>
      <t>漁獲量とコホート解析結果</t>
    </r>
    <rPh sb="0" eb="1">
      <t>ヒョウ</t>
    </rPh>
    <rPh sb="6" eb="9">
      <t>ギョカクリョウ</t>
    </rPh>
    <rPh sb="14" eb="16">
      <t>カイセキ</t>
    </rPh>
    <rPh sb="16" eb="18">
      <t>ケッカ</t>
    </rPh>
    <phoneticPr fontId="3"/>
  </si>
  <si>
    <r>
      <rPr>
        <sz val="11"/>
        <color theme="1"/>
        <rFont val="ＭＳ 明朝"/>
        <family val="1"/>
        <charset val="128"/>
      </rPr>
      <t>太平洋
合計</t>
    </r>
    <phoneticPr fontId="4"/>
  </si>
  <si>
    <r>
      <rPr>
        <sz val="11"/>
        <color theme="1"/>
        <rFont val="ＭＳ 明朝"/>
        <family val="1"/>
        <charset val="128"/>
      </rPr>
      <t>ロシア</t>
    </r>
  </si>
  <si>
    <r>
      <rPr>
        <sz val="11"/>
        <color theme="1"/>
        <rFont val="ＭＳ 明朝"/>
        <family val="1"/>
        <charset val="128"/>
      </rPr>
      <t>中国</t>
    </r>
    <rPh sb="0" eb="2">
      <t>チュウゴク</t>
    </rPh>
    <phoneticPr fontId="33"/>
  </si>
  <si>
    <r>
      <rPr>
        <sz val="11"/>
        <color theme="1"/>
        <rFont val="ＭＳ 明朝"/>
        <family val="1"/>
        <charset val="128"/>
      </rPr>
      <t>日本
合計</t>
    </r>
    <rPh sb="0" eb="2">
      <t>ニホン</t>
    </rPh>
    <rPh sb="3" eb="5">
      <t>ゴウケイ</t>
    </rPh>
    <phoneticPr fontId="33"/>
  </si>
  <si>
    <r>
      <rPr>
        <sz val="11"/>
        <rFont val="ＭＳ 明朝"/>
        <family val="1"/>
        <charset val="128"/>
      </rPr>
      <t>再生産
成功率
（尾</t>
    </r>
    <r>
      <rPr>
        <sz val="11"/>
        <rFont val="Times New Roman"/>
        <family val="1"/>
      </rPr>
      <t>/</t>
    </r>
    <r>
      <rPr>
        <sz val="10.5"/>
        <rFont val="Times New Roman"/>
        <family val="1"/>
      </rPr>
      <t>kg</t>
    </r>
    <r>
      <rPr>
        <sz val="10.5"/>
        <rFont val="ＭＳ 明朝"/>
        <family val="1"/>
        <charset val="128"/>
      </rPr>
      <t>）</t>
    </r>
    <rPh sb="0" eb="3">
      <t>サイセイサン</t>
    </rPh>
    <rPh sb="4" eb="7">
      <t>セイコウリツ</t>
    </rPh>
    <rPh sb="9" eb="10">
      <t>ビ</t>
    </rPh>
    <phoneticPr fontId="30"/>
  </si>
  <si>
    <t>資源量
（万トン）</t>
    <rPh sb="0" eb="2">
      <t>シゲン</t>
    </rPh>
    <rPh sb="2" eb="3">
      <t>リョウ</t>
    </rPh>
    <rPh sb="5" eb="6">
      <t>マン</t>
    </rPh>
    <phoneticPr fontId="30"/>
  </si>
  <si>
    <t>親魚量
（万トン）</t>
    <rPh sb="0" eb="1">
      <t>オヤ</t>
    </rPh>
    <rPh sb="1" eb="2">
      <t>ウオ</t>
    </rPh>
    <rPh sb="2" eb="3">
      <t>リョウ</t>
    </rPh>
    <rPh sb="5" eb="6">
      <t>マン</t>
    </rPh>
    <phoneticPr fontId="30"/>
  </si>
  <si>
    <t>加入量
（億尾）</t>
    <rPh sb="0" eb="2">
      <t>カニュウ</t>
    </rPh>
    <rPh sb="2" eb="3">
      <t>リョウ</t>
    </rPh>
    <rPh sb="5" eb="7">
      <t>オクビ</t>
    </rPh>
    <phoneticPr fontId="30"/>
  </si>
  <si>
    <r>
      <rPr>
        <sz val="11"/>
        <color theme="1"/>
        <rFont val="ＭＳ Ｐゴシック"/>
        <family val="2"/>
        <charset val="128"/>
      </rPr>
      <t>表</t>
    </r>
    <r>
      <rPr>
        <sz val="11"/>
        <color theme="1"/>
        <rFont val="Times New Roman"/>
        <family val="1"/>
      </rPr>
      <t>5-1.</t>
    </r>
    <r>
      <rPr>
        <sz val="11"/>
        <color theme="1"/>
        <rFont val="ＭＳ Ｐゴシック"/>
        <family val="2"/>
        <charset val="128"/>
      </rPr>
      <t>　将来の親魚量が目標管理基準値（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Ｐゴシック"/>
        <family val="2"/>
        <charset val="128"/>
      </rPr>
      <t>）、限界管理基準値（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Ｐゴシック"/>
        <family val="2"/>
        <charset val="128"/>
      </rPr>
      <t>）を上回る確率</t>
    </r>
  </si>
  <si>
    <r>
      <t>a)</t>
    </r>
    <r>
      <rPr>
        <sz val="11"/>
        <color theme="1"/>
        <rFont val="ＭＳ Ｐゴシック"/>
        <family val="2"/>
        <charset val="128"/>
      </rPr>
      <t>　目標管理基準値を上回る確率（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ゴシック"/>
        <family val="2"/>
        <charset val="128"/>
      </rPr>
      <t>）</t>
    </r>
  </si>
  <si>
    <r>
      <rPr>
        <sz val="8"/>
        <rFont val="ＭＳ Ｐ明朝"/>
        <family val="1"/>
        <charset val="128"/>
      </rPr>
      <t>現状の漁獲圧</t>
    </r>
  </si>
  <si>
    <r>
      <t>b)</t>
    </r>
    <r>
      <rPr>
        <sz val="11"/>
        <color theme="1"/>
        <rFont val="ＭＳ Ｐゴシック"/>
        <family val="2"/>
        <charset val="128"/>
      </rPr>
      <t>　限界管理基準値を上回る確率（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ゴシック"/>
        <family val="2"/>
        <charset val="128"/>
      </rPr>
      <t>）</t>
    </r>
  </si>
  <si>
    <r>
      <t>2025</t>
    </r>
    <r>
      <rPr>
        <sz val="11"/>
        <color theme="1"/>
        <rFont val="ＭＳ Ｐゴシック"/>
        <family val="2"/>
        <charset val="128"/>
      </rPr>
      <t>年は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Ｐゴシック"/>
        <family val="2"/>
        <charset val="128"/>
      </rPr>
      <t>を</t>
    </r>
    <r>
      <rPr>
        <sz val="11"/>
        <color theme="1"/>
        <rFont val="Times New Roman"/>
        <family val="1"/>
      </rPr>
      <t>1.30</t>
    </r>
    <r>
      <rPr>
        <sz val="11"/>
        <color theme="1"/>
        <rFont val="ＭＳ Ｐゴシック"/>
        <family val="2"/>
        <charset val="128"/>
      </rPr>
      <t>とし、</t>
    </r>
    <r>
      <rPr>
        <sz val="11"/>
        <color theme="1"/>
        <rFont val="Times New Roman"/>
        <family val="1"/>
      </rPr>
      <t>2026</t>
    </r>
    <r>
      <rPr>
        <sz val="11"/>
        <color theme="1"/>
        <rFont val="ＭＳ Ｐゴシック"/>
        <family val="2"/>
        <charset val="128"/>
      </rPr>
      <t>以降は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Ｐゴシック"/>
        <family val="2"/>
        <charset val="128"/>
      </rPr>
      <t>を</t>
    </r>
    <r>
      <rPr>
        <sz val="11"/>
        <color theme="1"/>
        <rFont val="Times New Roman"/>
        <family val="1"/>
      </rPr>
      <t>0.0</t>
    </r>
    <r>
      <rPr>
        <sz val="11"/>
        <color theme="1"/>
        <rFont val="ＭＳ Ｐゴシック"/>
        <family val="2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Ｐゴシック"/>
        <family val="2"/>
        <charset val="128"/>
      </rPr>
      <t>で変更した場合の将来予測の結果を示す。</t>
    </r>
    <phoneticPr fontId="3"/>
  </si>
  <si>
    <r>
      <t>2024</t>
    </r>
    <r>
      <rPr>
        <sz val="11"/>
        <color theme="1"/>
        <rFont val="ＭＳ Ｐゴシック"/>
        <family val="2"/>
        <charset val="128"/>
      </rPr>
      <t>年の漁獲量は現状の漁獲圧（</t>
    </r>
    <r>
      <rPr>
        <sz val="11"/>
        <color theme="1"/>
        <rFont val="Times New Roman"/>
        <family val="1"/>
      </rPr>
      <t>F2021-2023</t>
    </r>
    <r>
      <rPr>
        <sz val="11"/>
        <color theme="1"/>
        <rFont val="ＭＳ Ｐゴシック"/>
        <family val="2"/>
        <charset val="128"/>
      </rPr>
      <t>）から予測される</t>
    </r>
    <r>
      <rPr>
        <sz val="11"/>
        <color theme="1"/>
        <rFont val="Times New Roman"/>
        <family val="1"/>
      </rPr>
      <t>96.5</t>
    </r>
    <r>
      <rPr>
        <sz val="11"/>
        <color theme="1"/>
        <rFont val="ＭＳ Ｐゴシック"/>
        <family val="2"/>
        <charset val="128"/>
      </rPr>
      <t>万トンとし、</t>
    </r>
    <r>
      <rPr>
        <sz val="11"/>
        <color theme="1"/>
        <rFont val="Times New Roman"/>
        <family val="1"/>
      </rPr>
      <t>2025</t>
    </r>
    <r>
      <rPr>
        <sz val="11"/>
        <color theme="1"/>
        <rFont val="ＭＳ Ｐゴシック"/>
        <family val="2"/>
        <charset val="128"/>
      </rPr>
      <t>年から漁獲シナリオによる漁獲とした。</t>
    </r>
    <rPh sb="52" eb="54">
      <t>ギョカク</t>
    </rPh>
    <phoneticPr fontId="3"/>
  </si>
  <si>
    <t>比較のため現状の漁獲圧（F2021-F2023、β = 1.68に相当）で漁獲を続けた場合の結果も示した。</t>
  </si>
  <si>
    <t>a)　親魚量の平均値（万トン）</t>
    <phoneticPr fontId="3"/>
  </si>
  <si>
    <t>b)　漁獲量の平均値（万トン）</t>
    <phoneticPr fontId="3"/>
  </si>
  <si>
    <r>
      <rPr>
        <sz val="11"/>
        <rFont val="ＭＳ Ｐ明朝"/>
        <family val="1"/>
        <charset val="128"/>
      </rPr>
      <t>補足表</t>
    </r>
    <r>
      <rPr>
        <sz val="11"/>
        <rFont val="Times New Roman"/>
        <family val="1"/>
      </rPr>
      <t>2-1</t>
    </r>
    <r>
      <rPr>
        <sz val="11"/>
        <rFont val="ＭＳ Ｐ明朝"/>
        <family val="1"/>
        <charset val="128"/>
      </rPr>
      <t>　コホート解析の詳細</t>
    </r>
    <rPh sb="0" eb="2">
      <t>ホソク</t>
    </rPh>
    <rPh sb="2" eb="3">
      <t>ヒョウ</t>
    </rPh>
    <phoneticPr fontId="3"/>
  </si>
  <si>
    <r>
      <rPr>
        <sz val="12"/>
        <rFont val="ＭＳ 明朝"/>
        <family val="1"/>
        <charset val="128"/>
      </rPr>
      <t>年齢別漁獲尾数（百万尾）</t>
    </r>
    <rPh sb="8" eb="10">
      <t>ヒャクマン</t>
    </rPh>
    <phoneticPr fontId="38"/>
  </si>
  <si>
    <r>
      <rPr>
        <sz val="12"/>
        <rFont val="ＭＳ 明朝"/>
        <family val="1"/>
        <charset val="128"/>
      </rPr>
      <t>計</t>
    </r>
  </si>
  <si>
    <r>
      <rPr>
        <sz val="12"/>
        <rFont val="ＭＳ 明朝"/>
        <family val="1"/>
        <charset val="128"/>
      </rPr>
      <t>漁獲割合</t>
    </r>
    <rPh sb="0" eb="2">
      <t>ギョカク</t>
    </rPh>
    <rPh sb="2" eb="4">
      <t>ワリアイ</t>
    </rPh>
    <phoneticPr fontId="40"/>
  </si>
  <si>
    <r>
      <rPr>
        <sz val="12"/>
        <rFont val="ＭＳ 明朝"/>
        <family val="1"/>
        <charset val="128"/>
      </rPr>
      <t>年齢別漁獲係数（</t>
    </r>
    <r>
      <rPr>
        <sz val="12"/>
        <rFont val="Times New Roman"/>
        <family val="1"/>
      </rPr>
      <t>F</t>
    </r>
    <r>
      <rPr>
        <sz val="12"/>
        <rFont val="ＭＳ 明朝"/>
        <family val="1"/>
        <charset val="128"/>
      </rPr>
      <t>）</t>
    </r>
    <r>
      <rPr>
        <sz val="12"/>
        <rFont val="Yu Gothic"/>
        <family val="1"/>
        <charset val="128"/>
      </rPr>
      <t>、</t>
    </r>
    <r>
      <rPr>
        <sz val="12"/>
        <rFont val="Times New Roman"/>
        <family val="1"/>
      </rPr>
      <t>%SPR</t>
    </r>
    <r>
      <rPr>
        <sz val="12"/>
        <rFont val="Yu Gothic"/>
        <family val="1"/>
        <charset val="128"/>
      </rPr>
      <t>、</t>
    </r>
    <r>
      <rPr>
        <sz val="12"/>
        <rFont val="Times New Roman"/>
        <family val="1"/>
      </rPr>
      <t>F/Fmsy</t>
    </r>
    <rPh sb="0" eb="3">
      <t>ネンレイベツ</t>
    </rPh>
    <rPh sb="3" eb="5">
      <t>ギョカク</t>
    </rPh>
    <rPh sb="5" eb="7">
      <t>ケイスウ</t>
    </rPh>
    <phoneticPr fontId="38"/>
  </si>
  <si>
    <r>
      <rPr>
        <sz val="12"/>
        <rFont val="ＭＳ 明朝"/>
        <family val="1"/>
        <charset val="128"/>
      </rPr>
      <t>年齢別資源尾数（百万尾）</t>
    </r>
    <rPh sb="3" eb="5">
      <t>シゲン</t>
    </rPh>
    <rPh sb="8" eb="10">
      <t>ヒャクマン</t>
    </rPh>
    <phoneticPr fontId="38"/>
  </si>
  <si>
    <r>
      <rPr>
        <sz val="12"/>
        <rFont val="ＭＳ 明朝"/>
        <family val="1"/>
        <charset val="128"/>
      </rPr>
      <t>親魚量</t>
    </r>
    <rPh sb="0" eb="3">
      <t>シンギョリョウ</t>
    </rPh>
    <phoneticPr fontId="40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</si>
  <si>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2-2.</t>
    </r>
    <r>
      <rPr>
        <sz val="11"/>
        <color theme="1"/>
        <rFont val="ＭＳ 明朝"/>
        <family val="1"/>
        <charset val="128"/>
      </rPr>
      <t>　チューニングに用いた指標値とパラメータ推定値</t>
    </r>
    <rPh sb="18" eb="21">
      <t>シヒョウチ</t>
    </rPh>
    <rPh sb="27" eb="30">
      <t>スイテイチ</t>
    </rPh>
    <phoneticPr fontId="3"/>
  </si>
  <si>
    <r>
      <rPr>
        <sz val="11"/>
        <color theme="1"/>
        <rFont val="ＭＳ Ｐゴシック"/>
        <family val="2"/>
        <charset val="128"/>
      </rPr>
      <t>➀北西太平洋北上期浮魚類資源調査による中層トロール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ゴシック"/>
        <family val="2"/>
        <charset val="128"/>
      </rPr>
      <t>歳魚標準化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Ｐゴシック"/>
        <family val="2"/>
        <charset val="128"/>
      </rPr>
      <t>（尾</t>
    </r>
    <r>
      <rPr>
        <sz val="11"/>
        <color theme="1"/>
        <rFont val="Times New Roman"/>
        <family val="1"/>
      </rPr>
      <t>/</t>
    </r>
    <r>
      <rPr>
        <sz val="11"/>
        <color theme="1"/>
        <rFont val="ＭＳ Ｐゴシック"/>
        <family val="2"/>
        <charset val="128"/>
      </rPr>
      <t>網</t>
    </r>
    <r>
      <rPr>
        <sz val="11"/>
        <color theme="1"/>
        <rFont val="Times New Roman"/>
        <family val="1"/>
      </rPr>
      <t>/60</t>
    </r>
    <r>
      <rPr>
        <sz val="11"/>
        <color theme="1"/>
        <rFont val="ＭＳ Ｐゴシック"/>
        <family val="2"/>
        <charset val="128"/>
      </rPr>
      <t>分）。</t>
    </r>
  </si>
  <si>
    <r>
      <rPr>
        <sz val="11"/>
        <color theme="1"/>
        <rFont val="ＭＳ Ｐゴシック"/>
        <family val="2"/>
        <charset val="128"/>
      </rPr>
      <t>②北西太平洋北上期浮魚類資源調査による中層トロール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ゴシック"/>
        <family val="2"/>
        <charset val="128"/>
      </rPr>
      <t>歳魚標準化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Ｐゴシック"/>
        <family val="2"/>
        <charset val="128"/>
      </rPr>
      <t>（尾</t>
    </r>
    <r>
      <rPr>
        <sz val="11"/>
        <color theme="1"/>
        <rFont val="Times New Roman"/>
        <family val="1"/>
      </rPr>
      <t>/</t>
    </r>
    <r>
      <rPr>
        <sz val="11"/>
        <color theme="1"/>
        <rFont val="ＭＳ Ｐゴシック"/>
        <family val="2"/>
        <charset val="128"/>
      </rPr>
      <t>網</t>
    </r>
    <r>
      <rPr>
        <sz val="11"/>
        <color theme="1"/>
        <rFont val="Times New Roman"/>
        <family val="1"/>
      </rPr>
      <t>/60</t>
    </r>
    <r>
      <rPr>
        <sz val="11"/>
        <color theme="1"/>
        <rFont val="ＭＳ Ｐゴシック"/>
        <family val="2"/>
        <charset val="128"/>
      </rPr>
      <t>分）。</t>
    </r>
  </si>
  <si>
    <r>
      <rPr>
        <sz val="11"/>
        <color theme="1"/>
        <rFont val="ＭＳ Ｐゴシック"/>
        <family val="2"/>
        <charset val="128"/>
      </rPr>
      <t>③秋季亜寒帯域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ゴシック"/>
        <family val="2"/>
        <charset val="128"/>
      </rPr>
      <t>歳魚現存量（百万尾）。</t>
    </r>
  </si>
  <si>
    <r>
      <rPr>
        <sz val="11"/>
        <color theme="1"/>
        <rFont val="ＭＳ Ｐゴシック"/>
        <family val="2"/>
        <charset val="128"/>
      </rPr>
      <t>④潮岬以東海域（海区Ⅰ・Ⅱ）産卵量（兆粒）。</t>
    </r>
  </si>
  <si>
    <r>
      <t>* 2007</t>
    </r>
    <r>
      <rPr>
        <sz val="11"/>
        <color theme="1"/>
        <rFont val="ＭＳ Ｐゴシック"/>
        <family val="2"/>
        <charset val="128"/>
      </rPr>
      <t>年の秋季亜寒帯域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ゴシック"/>
        <family val="2"/>
        <charset val="128"/>
      </rPr>
      <t>歳魚現存量は、調査海域が狭く推定されるマイワシ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ゴシック"/>
        <family val="2"/>
        <charset val="128"/>
      </rPr>
      <t>歳魚主分布域を十分カバーできなかったため推定精度が低い（過小推定）と考えられ、チューニングから除外した。</t>
    </r>
  </si>
  <si>
    <r>
      <t>** b=1</t>
    </r>
    <r>
      <rPr>
        <sz val="11"/>
        <color theme="1"/>
        <rFont val="ＭＳ Ｐゴシック"/>
        <family val="2"/>
        <charset val="128"/>
      </rPr>
      <t>に固定。</t>
    </r>
  </si>
  <si>
    <t>年齢</t>
    <rPh sb="0" eb="2">
      <t>ネンレイ</t>
    </rPh>
    <phoneticPr fontId="3"/>
  </si>
  <si>
    <r>
      <t>補足表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明朝"/>
        <family val="1"/>
        <charset val="128"/>
      </rPr>
      <t>　再生産関係式のパラメータ</t>
    </r>
  </si>
  <si>
    <t>再生産関係式</t>
  </si>
  <si>
    <t>最適化法</t>
  </si>
  <si>
    <t>自己相関</t>
  </si>
  <si>
    <t>a</t>
  </si>
  <si>
    <t>b</t>
  </si>
  <si>
    <t>S.D.</t>
  </si>
  <si>
    <t>ρ</t>
  </si>
  <si>
    <t>ホッケー・スティック型</t>
  </si>
  <si>
    <t>最小二乗法</t>
  </si>
  <si>
    <t>無</t>
  </si>
  <si>
    <t>-</t>
  </si>
  <si>
    <r>
      <t>a</t>
    </r>
    <r>
      <rPr>
        <sz val="10.5"/>
        <color theme="1"/>
        <rFont val="ＭＳ 明朝"/>
        <family val="1"/>
        <charset val="128"/>
      </rPr>
      <t>と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ＭＳ 明朝"/>
        <family val="1"/>
        <charset val="128"/>
      </rPr>
      <t>は各再生産関係式の推定パラメータ、</t>
    </r>
    <r>
      <rPr>
        <sz val="10.5"/>
        <color theme="1"/>
        <rFont val="Times New Roman"/>
        <family val="1"/>
      </rPr>
      <t>S.D.</t>
    </r>
    <r>
      <rPr>
        <sz val="10.5"/>
        <color theme="1"/>
        <rFont val="ＭＳ 明朝"/>
        <family val="1"/>
        <charset val="128"/>
      </rPr>
      <t>は加入量の標準偏差、</t>
    </r>
    <r>
      <rPr>
        <sz val="10.5"/>
        <color theme="1"/>
        <rFont val="Times New Roman"/>
        <family val="1"/>
      </rPr>
      <t>ρ</t>
    </r>
    <r>
      <rPr>
        <sz val="10.5"/>
        <color theme="1"/>
        <rFont val="ＭＳ 明朝"/>
        <family val="1"/>
        <charset val="128"/>
      </rPr>
      <t>は自己相関係数である。ここで、</t>
    </r>
    <r>
      <rPr>
        <sz val="10.5"/>
        <color theme="1"/>
        <rFont val="Times New Roman"/>
        <family val="1"/>
      </rPr>
      <t>a</t>
    </r>
    <r>
      <rPr>
        <sz val="10.5"/>
        <color theme="1"/>
        <rFont val="ＭＳ 明朝"/>
        <family val="1"/>
        <charset val="128"/>
      </rPr>
      <t>は</t>
    </r>
    <r>
      <rPr>
        <sz val="10.5"/>
        <color theme="1"/>
        <rFont val="Times New Roman"/>
        <family val="1"/>
      </rPr>
      <t>HS</t>
    </r>
    <r>
      <rPr>
        <sz val="10.5"/>
        <color theme="1"/>
        <rFont val="ＭＳ 明朝"/>
        <family val="1"/>
        <charset val="128"/>
      </rPr>
      <t>の折れ点までの再生産曲線の傾き（千尾</t>
    </r>
    <r>
      <rPr>
        <sz val="10.5"/>
        <color theme="1"/>
        <rFont val="Times New Roman"/>
        <family val="1"/>
      </rPr>
      <t>/kg</t>
    </r>
    <r>
      <rPr>
        <sz val="10.5"/>
        <color theme="1"/>
        <rFont val="ＭＳ 明朝"/>
        <family val="1"/>
        <charset val="128"/>
      </rPr>
      <t>）、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ＭＳ 明朝"/>
        <family val="1"/>
        <charset val="128"/>
      </rPr>
      <t>は</t>
    </r>
    <r>
      <rPr>
        <sz val="10.5"/>
        <color theme="1"/>
        <rFont val="Times New Roman"/>
        <family val="1"/>
      </rPr>
      <t>HS</t>
    </r>
    <r>
      <rPr>
        <sz val="10.5"/>
        <color theme="1"/>
        <rFont val="ＭＳ 明朝"/>
        <family val="1"/>
        <charset val="128"/>
      </rPr>
      <t>の折れ点となる親魚量（トン）である。</t>
    </r>
  </si>
  <si>
    <r>
      <t>補足表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管理基準値と</t>
    </r>
    <r>
      <rPr>
        <sz val="10.5"/>
        <color theme="1"/>
        <rFont val="Times New Roman"/>
        <family val="1"/>
      </rPr>
      <t>MSY</t>
    </r>
  </si>
  <si>
    <t>項目</t>
  </si>
  <si>
    <t>値</t>
  </si>
  <si>
    <t>説明</t>
  </si>
  <si>
    <t>SBtarget</t>
  </si>
  <si>
    <r>
      <t>118.7</t>
    </r>
    <r>
      <rPr>
        <sz val="10.5"/>
        <color theme="1"/>
        <rFont val="ＭＳ Ｐ明朝"/>
        <family val="1"/>
        <charset val="128"/>
      </rPr>
      <t>万トン</t>
    </r>
  </si>
  <si>
    <r>
      <t>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</t>
    </r>
  </si>
  <si>
    <t>SBlimit</t>
  </si>
  <si>
    <r>
      <t xml:space="preserve"> 48.7</t>
    </r>
    <r>
      <rPr>
        <sz val="10.5"/>
        <color theme="1"/>
        <rFont val="ＭＳ Ｐ明朝"/>
        <family val="1"/>
        <charset val="128"/>
      </rPr>
      <t>万トン</t>
    </r>
  </si>
  <si>
    <r>
      <t>限界管理基準値。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Ｐ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Ｐ明朝"/>
        <family val="1"/>
        <charset val="128"/>
      </rPr>
      <t>）</t>
    </r>
  </si>
  <si>
    <t>SBban</t>
  </si>
  <si>
    <r>
      <t xml:space="preserve">  6.9</t>
    </r>
    <r>
      <rPr>
        <sz val="10.5"/>
        <color theme="1"/>
        <rFont val="ＭＳ Ｐ明朝"/>
        <family val="1"/>
        <charset val="128"/>
      </rPr>
      <t>万トン</t>
    </r>
  </si>
  <si>
    <r>
      <t>禁漁水準。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</t>
    </r>
  </si>
  <si>
    <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Ｐ明朝"/>
        <family val="1"/>
        <charset val="128"/>
      </rPr>
      <t>）</t>
    </r>
  </si>
  <si>
    <t>Fmsy</t>
  </si>
  <si>
    <r>
      <t>SBmsy</t>
    </r>
    <r>
      <rPr>
        <sz val="10.5"/>
        <color theme="1"/>
        <rFont val="ＭＳ Ｐ明朝"/>
        <family val="1"/>
        <charset val="128"/>
      </rPr>
      <t>を維持する漁獲圧</t>
    </r>
  </si>
  <si>
    <r>
      <t>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5</t>
    </r>
    <r>
      <rPr>
        <sz val="10.5"/>
        <color theme="1"/>
        <rFont val="ＭＳ Ｐ明朝"/>
        <family val="1"/>
        <charset val="128"/>
      </rPr>
      <t>歳以上）</t>
    </r>
  </si>
  <si>
    <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0.18, 0.18, 0.24, 0.50, 0.50, 0.50</t>
    </r>
    <r>
      <rPr>
        <sz val="10.5"/>
        <color theme="1"/>
        <rFont val="ＭＳ Ｐ明朝"/>
        <family val="1"/>
        <charset val="128"/>
      </rPr>
      <t>）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</si>
  <si>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Ｐ明朝"/>
        <family val="1"/>
        <charset val="128"/>
      </rPr>
      <t>）</t>
    </r>
  </si>
  <si>
    <r>
      <t>Fmsy</t>
    </r>
    <r>
      <rPr>
        <sz val="10.5"/>
        <color theme="1"/>
        <rFont val="ＭＳ Ｐ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</si>
  <si>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</si>
  <si>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 xml:space="preserve"> 38.9</t>
    </r>
    <r>
      <rPr>
        <sz val="10.5"/>
        <color theme="1"/>
        <rFont val="ＭＳ Ｐ明朝"/>
        <family val="1"/>
        <charset val="128"/>
      </rPr>
      <t>万</t>
    </r>
    <r>
      <rPr>
        <sz val="10.5"/>
        <color rgb="FF000000"/>
        <rFont val="ＭＳ Ｐ明朝"/>
        <family val="1"/>
        <charset val="128"/>
      </rPr>
      <t>トン</t>
    </r>
  </si>
  <si>
    <t>最大持続生産量</t>
  </si>
  <si>
    <r>
      <t>補足表</t>
    </r>
    <r>
      <rPr>
        <sz val="10.5"/>
        <color theme="1"/>
        <rFont val="Times New Roman"/>
        <family val="1"/>
      </rPr>
      <t>3-3.</t>
    </r>
    <r>
      <rPr>
        <sz val="10.5"/>
        <color theme="1"/>
        <rFont val="ＭＳ 明朝"/>
        <family val="1"/>
        <charset val="128"/>
      </rPr>
      <t>　最新年の親魚量と漁獲圧</t>
    </r>
  </si>
  <si>
    <t>SB2023</t>
  </si>
  <si>
    <r>
      <t>279.1</t>
    </r>
    <r>
      <rPr>
        <sz val="10.5"/>
        <color theme="1"/>
        <rFont val="ＭＳ Ｐ明朝"/>
        <family val="1"/>
        <charset val="128"/>
      </rPr>
      <t>万トン</t>
    </r>
  </si>
  <si>
    <r>
      <t>2023</t>
    </r>
    <r>
      <rPr>
        <sz val="10.5"/>
        <color rgb="FF000000"/>
        <rFont val="ＭＳ Ｐ明朝"/>
        <family val="1"/>
        <charset val="128"/>
      </rPr>
      <t>年の親魚量</t>
    </r>
  </si>
  <si>
    <t>F2023</t>
  </si>
  <si>
    <r>
      <t>2023</t>
    </r>
    <r>
      <rPr>
        <sz val="10.5"/>
        <color theme="1"/>
        <rFont val="ＭＳ Ｐ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5</t>
    </r>
    <r>
      <rPr>
        <sz val="10.5"/>
        <color theme="1"/>
        <rFont val="ＭＳ Ｐ明朝"/>
        <family val="1"/>
        <charset val="128"/>
      </rPr>
      <t>歳以上）</t>
    </r>
  </si>
  <si>
    <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0.39, 0.36, 0.80, 0.32, 0.90, 0.90</t>
    </r>
    <r>
      <rPr>
        <sz val="10.5"/>
        <color theme="1"/>
        <rFont val="ＭＳ Ｐ明朝"/>
        <family val="1"/>
        <charset val="128"/>
      </rPr>
      <t>）</t>
    </r>
  </si>
  <si>
    <t>U2023</t>
  </si>
  <si>
    <r>
      <t>2023</t>
    </r>
    <r>
      <rPr>
        <sz val="10.5"/>
        <color theme="1"/>
        <rFont val="ＭＳ Ｐ明朝"/>
        <family val="1"/>
        <charset val="128"/>
      </rPr>
      <t>年の漁獲割合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</si>
  <si>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F2023</t>
    </r>
    <r>
      <rPr>
        <sz val="10.5"/>
        <color theme="1"/>
        <rFont val="ＭＳ Ｐ明朝"/>
        <family val="1"/>
        <charset val="128"/>
      </rPr>
      <t>）</t>
    </r>
  </si>
  <si>
    <r>
      <t>2023</t>
    </r>
    <r>
      <rPr>
        <sz val="10.5"/>
        <color rgb="FF000000"/>
        <rFont val="ＭＳ Ｐ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</si>
  <si>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F2021-2023</t>
    </r>
    <r>
      <rPr>
        <sz val="10.5"/>
        <color theme="1"/>
        <rFont val="ＭＳ Ｐ明朝"/>
        <family val="1"/>
        <charset val="128"/>
      </rPr>
      <t>）</t>
    </r>
  </si>
  <si>
    <r>
      <t>現状（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年）の漁獲圧に対応する</t>
    </r>
    <r>
      <rPr>
        <sz val="10.5"/>
        <color rgb="FF000000"/>
        <rFont val="Times New Roman"/>
        <family val="1"/>
      </rPr>
      <t>%SPR*</t>
    </r>
  </si>
  <si>
    <t>管理基準値との比較</t>
  </si>
  <si>
    <t>SB2023/ SBtarget</t>
  </si>
  <si>
    <r>
      <t>最大持続生産量を実現する親魚量に対する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年の親魚量の比</t>
    </r>
  </si>
  <si>
    <t>F2023/ Fmsy</t>
  </si>
  <si>
    <r>
      <t>SBmsy</t>
    </r>
    <r>
      <rPr>
        <sz val="10.5"/>
        <color rgb="FF000000"/>
        <rFont val="ＭＳ Ｐ明朝"/>
        <family val="1"/>
        <charset val="128"/>
      </rPr>
      <t>を維持する漁獲圧に対する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</t>
    </r>
  </si>
  <si>
    <t>親魚量の水準</t>
  </si>
  <si>
    <r>
      <t>MSY</t>
    </r>
    <r>
      <rPr>
        <sz val="10.5"/>
        <color theme="1"/>
        <rFont val="ＭＳ Ｐ明朝"/>
        <family val="1"/>
        <charset val="128"/>
      </rPr>
      <t>を実現する水準を上回る</t>
    </r>
  </si>
  <si>
    <t>漁獲圧の水準</t>
  </si>
  <si>
    <r>
      <t>SBmsy</t>
    </r>
    <r>
      <rPr>
        <sz val="10.5"/>
        <color theme="1"/>
        <rFont val="ＭＳ Ｐ明朝"/>
        <family val="1"/>
        <charset val="128"/>
      </rPr>
      <t>を維持する水準を上回る</t>
    </r>
  </si>
  <si>
    <t>親魚量の動向</t>
  </si>
  <si>
    <t>増加</t>
  </si>
  <si>
    <r>
      <t>* 2023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換算して算出し求めた比率。</t>
    </r>
  </si>
  <si>
    <r>
      <t>補足表</t>
    </r>
    <r>
      <rPr>
        <sz val="10.5"/>
        <color theme="1"/>
        <rFont val="Times New Roman"/>
        <family val="1"/>
      </rPr>
      <t>3-4.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明朝"/>
        <family val="1"/>
        <charset val="128"/>
      </rPr>
      <t>と予測親魚量</t>
    </r>
  </si>
  <si>
    <r>
      <t>2025</t>
    </r>
    <r>
      <rPr>
        <sz val="10.5"/>
        <color rgb="FF000000"/>
        <rFont val="ＭＳ Ｐ明朝"/>
        <family val="1"/>
        <charset val="128"/>
      </rPr>
      <t>年の</t>
    </r>
  </si>
  <si>
    <t>ABC</t>
  </si>
  <si>
    <t>（万トン）</t>
  </si>
  <si>
    <r>
      <t>2025</t>
    </r>
    <r>
      <rPr>
        <sz val="10.5"/>
        <color rgb="FF000000"/>
        <rFont val="ＭＳ Ｐ明朝"/>
        <family val="1"/>
        <charset val="128"/>
      </rPr>
      <t>年の親魚量</t>
    </r>
  </si>
  <si>
    <t>予測平均値</t>
  </si>
  <si>
    <t>現状の漁獲圧に</t>
  </si>
  <si>
    <t>対する比</t>
  </si>
  <si>
    <r>
      <t>（</t>
    </r>
    <r>
      <rPr>
        <sz val="10.5"/>
        <color rgb="FF000000"/>
        <rFont val="Times New Roman"/>
        <family val="1"/>
      </rPr>
      <t>F/F2021-2023</t>
    </r>
    <r>
      <rPr>
        <sz val="10.5"/>
        <color rgb="FF000000"/>
        <rFont val="ＭＳ Ｐ明朝"/>
        <family val="1"/>
        <charset val="128"/>
      </rPr>
      <t>）</t>
    </r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</si>
  <si>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</si>
  <si>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コメント：</t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</si>
  <si>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Ｐ明朝"/>
        <family val="1"/>
        <charset val="128"/>
      </rPr>
      <t>の算定には、令和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年</t>
    </r>
    <r>
      <rPr>
        <sz val="10.5"/>
        <color theme="1"/>
        <rFont val="Times New Roman"/>
        <family val="1"/>
      </rPr>
      <t>9</t>
    </r>
    <r>
      <rPr>
        <sz val="10.5"/>
        <color theme="1"/>
        <rFont val="ＭＳ Ｐ明朝"/>
        <family val="1"/>
        <charset val="128"/>
      </rPr>
      <t>月に開催された「資源管理方針に関する検討会」で取り纏められ「水産政策審議会」を経て定められた漁獲シナリオでの漁獲管理規則を用いた。</t>
    </r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</si>
  <si>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ＭＳ Ｐ明朝"/>
        <family val="1"/>
        <charset val="128"/>
      </rPr>
      <t>調整係数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Ｐ明朝"/>
        <family val="1"/>
        <charset val="128"/>
      </rPr>
      <t>は、</t>
    </r>
    <r>
      <rPr>
        <sz val="10.5"/>
        <color theme="1"/>
        <rFont val="Times New Roman"/>
        <family val="1"/>
      </rPr>
      <t>2025</t>
    </r>
    <r>
      <rPr>
        <sz val="10.5"/>
        <color theme="1"/>
        <rFont val="ＭＳ Ｐ明朝"/>
        <family val="1"/>
        <charset val="128"/>
      </rPr>
      <t>年は</t>
    </r>
    <r>
      <rPr>
        <sz val="10.5"/>
        <color theme="1"/>
        <rFont val="Times New Roman"/>
        <family val="1"/>
      </rPr>
      <t>1.30</t>
    </r>
    <r>
      <rPr>
        <sz val="10.5"/>
        <color theme="1"/>
        <rFont val="ＭＳ Ｐ明朝"/>
        <family val="1"/>
        <charset val="128"/>
      </rPr>
      <t>、</t>
    </r>
    <r>
      <rPr>
        <sz val="10.5"/>
        <color theme="1"/>
        <rFont val="Times New Roman"/>
        <family val="1"/>
      </rPr>
      <t>2026</t>
    </r>
    <r>
      <rPr>
        <sz val="10.5"/>
        <color theme="1"/>
        <rFont val="ＭＳ Ｐ明朝"/>
        <family val="1"/>
        <charset val="128"/>
      </rPr>
      <t>年以降は</t>
    </r>
    <r>
      <rPr>
        <sz val="10.5"/>
        <color theme="1"/>
        <rFont val="Times New Roman"/>
        <family val="1"/>
      </rPr>
      <t>0.85</t>
    </r>
    <r>
      <rPr>
        <sz val="10.5"/>
        <color theme="1"/>
        <rFont val="ＭＳ Ｐ明朝"/>
        <family val="1"/>
        <charset val="128"/>
      </rPr>
      <t>が用いられる。</t>
    </r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</si>
  <si>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Ｐ明朝"/>
        <family val="1"/>
        <charset val="128"/>
      </rPr>
      <t>は外国船による漁獲も合わせた値。</t>
    </r>
  </si>
  <si>
    <r>
      <t>補足表</t>
    </r>
    <r>
      <rPr>
        <sz val="10.5"/>
        <color theme="1"/>
        <rFont val="Times New Roman"/>
        <family val="1"/>
      </rPr>
      <t>3-5.</t>
    </r>
    <r>
      <rPr>
        <sz val="10.5"/>
        <color theme="1"/>
        <rFont val="ＭＳ 明朝"/>
        <family val="1"/>
        <charset val="128"/>
      </rPr>
      <t>　異なる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を用いた将来予測結果</t>
    </r>
  </si>
  <si>
    <t>考慮している不確実性：加入量</t>
  </si>
  <si>
    <r>
      <t>2031</t>
    </r>
    <r>
      <rPr>
        <sz val="10.5"/>
        <color rgb="FF000000"/>
        <rFont val="ＭＳ Ｐ明朝"/>
        <family val="1"/>
        <charset val="128"/>
      </rPr>
      <t>年</t>
    </r>
  </si>
  <si>
    <t>の親魚量</t>
  </si>
  <si>
    <t>予測区間</t>
  </si>
  <si>
    <r>
      <t>2031</t>
    </r>
    <r>
      <rPr>
        <sz val="10.5"/>
        <color rgb="FF000000"/>
        <rFont val="ＭＳ Ｐ明朝"/>
        <family val="1"/>
        <charset val="128"/>
      </rPr>
      <t>年に親魚量が以下の</t>
    </r>
  </si>
  <si>
    <r>
      <t>管理基準値を上回る確率（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</si>
  <si>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r>
      <t>漁獲シナリオで使用する</t>
    </r>
    <r>
      <rPr>
        <sz val="10.5"/>
        <color rgb="FF000000"/>
        <rFont val="Times New Roman"/>
        <family val="1"/>
      </rPr>
      <t>β</t>
    </r>
  </si>
  <si>
    <t>β=0.85</t>
  </si>
  <si>
    <t>186.8-355.1</t>
  </si>
  <si>
    <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を使用した場合</t>
    </r>
  </si>
  <si>
    <t>β=1.0</t>
  </si>
  <si>
    <t>166.2-322.7</t>
  </si>
  <si>
    <t>β=0.8</t>
  </si>
  <si>
    <t>194.4-367.1</t>
  </si>
  <si>
    <t>β=0.6</t>
  </si>
  <si>
    <t>230.3-421.4</t>
  </si>
  <si>
    <t>β=0.4</t>
  </si>
  <si>
    <t>276.3-490.5</t>
  </si>
  <si>
    <t>β=0.2</t>
  </si>
  <si>
    <t>335.4-577.7</t>
  </si>
  <si>
    <t>β=0.0</t>
  </si>
  <si>
    <t>414.7-689.5</t>
  </si>
  <si>
    <t>F2021-2023</t>
  </si>
  <si>
    <t>113.0-236.0</t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</si>
  <si>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 xml:space="preserve">3-6. </t>
    </r>
    <r>
      <rPr>
        <sz val="11"/>
        <color theme="1"/>
        <rFont val="ＭＳ 明朝"/>
        <family val="1"/>
        <charset val="128"/>
      </rPr>
      <t>漁獲シナリオに対応する将来予測</t>
    </r>
    <r>
      <rPr>
        <sz val="11"/>
        <color theme="1"/>
        <rFont val="Times New Roman"/>
        <family val="1"/>
      </rPr>
      <t xml:space="preserve"> </t>
    </r>
    <rPh sb="0" eb="2">
      <t>ホソク</t>
    </rPh>
    <rPh sb="2" eb="3">
      <t>ヒョウ</t>
    </rPh>
    <rPh sb="8" eb="10">
      <t>ギョカク</t>
    </rPh>
    <rPh sb="15" eb="17">
      <t>タイオウ</t>
    </rPh>
    <rPh sb="19" eb="21">
      <t>ショウライ</t>
    </rPh>
    <rPh sb="21" eb="23">
      <t>ヨソク</t>
    </rPh>
    <phoneticPr fontId="3"/>
  </si>
  <si>
    <r>
      <t>HCR (2025</t>
    </r>
    <r>
      <rPr>
        <sz val="11"/>
        <rFont val="游ゴシック"/>
        <family val="1"/>
        <charset val="128"/>
      </rPr>
      <t>年は</t>
    </r>
    <r>
      <rPr>
        <sz val="11"/>
        <rFont val="Times New Roman"/>
        <family val="1"/>
      </rPr>
      <t>1.3Fmsy</t>
    </r>
    <r>
      <rPr>
        <sz val="11"/>
        <rFont val="游ゴシック"/>
        <family val="1"/>
        <charset val="128"/>
      </rPr>
      <t>、</t>
    </r>
    <r>
      <rPr>
        <sz val="11"/>
        <rFont val="Times New Roman"/>
        <family val="1"/>
      </rPr>
      <t xml:space="preserve"> 2026</t>
    </r>
    <r>
      <rPr>
        <sz val="12"/>
        <rFont val="Osaka"/>
        <family val="3"/>
        <charset val="128"/>
      </rPr>
      <t>年以降は</t>
    </r>
    <r>
      <rPr>
        <sz val="12"/>
        <rFont val="Times New Roman"/>
        <family val="1"/>
      </rPr>
      <t>0.85Fmsy</t>
    </r>
    <r>
      <rPr>
        <sz val="12"/>
        <rFont val="Osaka"/>
        <family val="3"/>
        <charset val="128"/>
      </rPr>
      <t>で漁獲</t>
    </r>
    <r>
      <rPr>
        <sz val="12"/>
        <rFont val="Times New Roman"/>
        <family val="1"/>
      </rPr>
      <t>)</t>
    </r>
    <rPh sb="9" eb="10">
      <t>ネン</t>
    </rPh>
    <rPh sb="24" eb="27">
      <t>ネンイコウ</t>
    </rPh>
    <rPh sb="37" eb="39">
      <t>ギョカク</t>
    </rPh>
    <phoneticPr fontId="2"/>
  </si>
  <si>
    <r>
      <rPr>
        <sz val="12"/>
        <rFont val="ＭＳ 明朝"/>
        <family val="1"/>
        <charset val="128"/>
      </rPr>
      <t>年齢別漁獲係数</t>
    </r>
    <rPh sb="0" eb="3">
      <t>ネンレイベツ</t>
    </rPh>
    <rPh sb="3" eb="7">
      <t>ギョカクケイスウ</t>
    </rPh>
    <phoneticPr fontId="24"/>
  </si>
  <si>
    <r>
      <rPr>
        <sz val="12"/>
        <rFont val="ＭＳ 明朝"/>
        <family val="1"/>
        <charset val="128"/>
      </rPr>
      <t>単純平均</t>
    </r>
    <rPh sb="0" eb="2">
      <t>タンジュン</t>
    </rPh>
    <rPh sb="2" eb="4">
      <t>カジュウヘイキン</t>
    </rPh>
    <phoneticPr fontId="24"/>
  </si>
  <si>
    <r>
      <rPr>
        <sz val="12"/>
        <rFont val="ＭＳ 明朝"/>
        <family val="1"/>
        <charset val="128"/>
      </rPr>
      <t>年齢別平均資源尾数（百万尾）</t>
    </r>
    <r>
      <rPr>
        <vertAlign val="superscript"/>
        <sz val="12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9">
      <t>シゲンビスウ</t>
    </rPh>
    <rPh sb="10" eb="13">
      <t>ヒャクマンビ</t>
    </rPh>
    <phoneticPr fontId="24"/>
  </si>
  <si>
    <r>
      <rPr>
        <sz val="12"/>
        <rFont val="ＭＳ 明朝"/>
        <family val="1"/>
        <charset val="128"/>
      </rPr>
      <t>年齢別平均資源量（千トン）</t>
    </r>
    <r>
      <rPr>
        <vertAlign val="superscript"/>
        <sz val="12"/>
        <rFont val="ＭＳ 明朝"/>
        <family val="1"/>
        <charset val="128"/>
      </rPr>
      <t>※</t>
    </r>
    <rPh sb="0" eb="3">
      <t>ネンレイベツ</t>
    </rPh>
    <rPh sb="3" eb="5">
      <t>ヘイキン</t>
    </rPh>
    <rPh sb="8" eb="9">
      <t>リョウ</t>
    </rPh>
    <rPh sb="10" eb="11">
      <t>セン</t>
    </rPh>
    <phoneticPr fontId="24"/>
  </si>
  <si>
    <r>
      <rPr>
        <sz val="12"/>
        <rFont val="ＭＳ Ｐ明朝"/>
        <family val="1"/>
        <charset val="128"/>
      </rPr>
      <t>親魚量</t>
    </r>
    <rPh sb="0" eb="3">
      <t>シンギョリョウ</t>
    </rPh>
    <phoneticPr fontId="43"/>
  </si>
  <si>
    <r>
      <rPr>
        <sz val="12"/>
        <rFont val="ＭＳ 明朝"/>
        <family val="1"/>
        <charset val="128"/>
      </rPr>
      <t>年齢別平均漁獲尾数（百万尾）</t>
    </r>
    <r>
      <rPr>
        <vertAlign val="superscript"/>
        <sz val="12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7">
      <t>ギョカク</t>
    </rPh>
    <rPh sb="7" eb="9">
      <t>ビスウ</t>
    </rPh>
    <rPh sb="10" eb="12">
      <t>ヒャクマン</t>
    </rPh>
    <rPh sb="12" eb="13">
      <t>オ</t>
    </rPh>
    <phoneticPr fontId="24"/>
  </si>
  <si>
    <r>
      <rPr>
        <sz val="12"/>
        <rFont val="ＭＳ 明朝"/>
        <family val="1"/>
        <charset val="128"/>
      </rPr>
      <t>年齢別平均漁獲量（千トン）</t>
    </r>
    <r>
      <rPr>
        <vertAlign val="superscript"/>
        <sz val="12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8">
      <t>ギョカクリョウ</t>
    </rPh>
    <rPh sb="9" eb="10">
      <t>セン</t>
    </rPh>
    <phoneticPr fontId="24"/>
  </si>
  <si>
    <r>
      <rPr>
        <sz val="12"/>
        <rFont val="ＭＳ 明朝"/>
        <family val="1"/>
        <charset val="128"/>
      </rPr>
      <t>漁獲割合</t>
    </r>
    <rPh sb="0" eb="4">
      <t>ギョカクワリアイ</t>
    </rPh>
    <phoneticPr fontId="24"/>
  </si>
  <si>
    <r>
      <rPr>
        <sz val="11"/>
        <color theme="1"/>
        <rFont val="ＭＳ Ｐゴシック"/>
        <family val="2"/>
        <charset val="128"/>
      </rPr>
      <t>補足表</t>
    </r>
    <r>
      <rPr>
        <sz val="11"/>
        <color theme="1"/>
        <rFont val="Times New Roman"/>
        <family val="1"/>
      </rPr>
      <t xml:space="preserve">3-7. </t>
    </r>
    <r>
      <rPr>
        <sz val="11"/>
        <color theme="1"/>
        <rFont val="ＭＳ Ｐゴシック"/>
        <family val="2"/>
        <charset val="128"/>
      </rPr>
      <t>現状の漁獲圧に対応する将来予測</t>
    </r>
    <r>
      <rPr>
        <sz val="11"/>
        <color theme="1"/>
        <rFont val="Times New Roman"/>
        <family val="1"/>
      </rPr>
      <t xml:space="preserve"> </t>
    </r>
    <rPh sb="0" eb="2">
      <t>ホソク</t>
    </rPh>
    <rPh sb="2" eb="3">
      <t>ヒョウ</t>
    </rPh>
    <rPh sb="8" eb="10">
      <t>ゲンジョウ</t>
    </rPh>
    <rPh sb="11" eb="13">
      <t>ギョカク</t>
    </rPh>
    <rPh sb="13" eb="14">
      <t>アツ</t>
    </rPh>
    <rPh sb="15" eb="17">
      <t>タイオウ</t>
    </rPh>
    <rPh sb="19" eb="21">
      <t>ショウライ</t>
    </rPh>
    <rPh sb="21" eb="23">
      <t>ヨソク</t>
    </rPh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</si>
  <si>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 xml:space="preserve">6-1. </t>
    </r>
    <r>
      <rPr>
        <sz val="11"/>
        <color theme="1"/>
        <rFont val="ＭＳ 明朝"/>
        <family val="1"/>
        <charset val="128"/>
      </rPr>
      <t>評価年度別の各年の加入量、親魚量、および資源量</t>
    </r>
    <rPh sb="0" eb="2">
      <t>ホソク</t>
    </rPh>
    <rPh sb="2" eb="3">
      <t>ヒョウ</t>
    </rPh>
    <phoneticPr fontId="3"/>
  </si>
  <si>
    <r>
      <t xml:space="preserve">(a) </t>
    </r>
    <r>
      <rPr>
        <sz val="11"/>
        <color theme="1"/>
        <rFont val="ＭＳ 明朝"/>
        <family val="1"/>
        <charset val="128"/>
      </rPr>
      <t>加入量（億尾）</t>
    </r>
    <rPh sb="4" eb="7">
      <t>カニュウリョウ</t>
    </rPh>
    <rPh sb="8" eb="9">
      <t>オク</t>
    </rPh>
    <rPh sb="9" eb="10">
      <t>ビ</t>
    </rPh>
    <phoneticPr fontId="3"/>
  </si>
  <si>
    <r>
      <rPr>
        <sz val="11"/>
        <color theme="1"/>
        <rFont val="ＭＳ 明朝"/>
        <family val="1"/>
        <charset val="128"/>
      </rPr>
      <t>加入量</t>
    </r>
  </si>
  <si>
    <r>
      <rPr>
        <sz val="11"/>
        <color theme="1"/>
        <rFont val="ＭＳ 明朝"/>
        <family val="1"/>
        <charset val="128"/>
      </rPr>
      <t>年</t>
    </r>
  </si>
  <si>
    <r>
      <rPr>
        <sz val="11"/>
        <color theme="1"/>
        <rFont val="ＭＳ 明朝"/>
        <family val="1"/>
        <charset val="128"/>
      </rPr>
      <t>評価年度</t>
    </r>
  </si>
  <si>
    <r>
      <t xml:space="preserve">(b) </t>
    </r>
    <r>
      <rPr>
        <sz val="11"/>
        <color theme="1"/>
        <rFont val="ＭＳ 明朝"/>
        <family val="1"/>
        <charset val="128"/>
      </rPr>
      <t>親魚量（万トン）</t>
    </r>
    <rPh sb="4" eb="7">
      <t>シンギョリョウ</t>
    </rPh>
    <rPh sb="8" eb="9">
      <t>マン</t>
    </rPh>
    <phoneticPr fontId="3"/>
  </si>
  <si>
    <r>
      <t xml:space="preserve">(c) </t>
    </r>
    <r>
      <rPr>
        <sz val="11"/>
        <color theme="1"/>
        <rFont val="ＭＳ 明朝"/>
        <family val="1"/>
        <charset val="128"/>
      </rPr>
      <t>資源量（万トン）</t>
    </r>
    <rPh sb="4" eb="7">
      <t>シゲンリョウ</t>
    </rPh>
    <rPh sb="8" eb="9">
      <t>マン</t>
    </rPh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</si>
  <si>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7-1. TAC</t>
    </r>
    <r>
      <rPr>
        <sz val="11"/>
        <color theme="1"/>
        <rFont val="ＭＳ 明朝"/>
        <family val="1"/>
        <charset val="128"/>
      </rPr>
      <t>と実漁獲量（万トン）</t>
    </r>
    <rPh sb="0" eb="2">
      <t>ホソク</t>
    </rPh>
    <rPh sb="2" eb="3">
      <t>ヒョウ</t>
    </rPh>
    <rPh sb="12" eb="16">
      <t>ジツギョカクリョウ</t>
    </rPh>
    <rPh sb="17" eb="18">
      <t>マン</t>
    </rPh>
    <phoneticPr fontId="3"/>
  </si>
  <si>
    <r>
      <t>2019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</si>
  <si>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2020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</si>
  <si>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2021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</si>
  <si>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2022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</si>
  <si>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2023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3"/>
  </si>
  <si>
    <r>
      <rPr>
        <sz val="11"/>
        <color theme="1"/>
        <rFont val="ＭＳ 明朝"/>
        <family val="1"/>
        <charset val="128"/>
      </rPr>
      <t>日本の漁獲量</t>
    </r>
    <rPh sb="0" eb="2">
      <t>ニホン</t>
    </rPh>
    <rPh sb="3" eb="6">
      <t>ギョカクリョウ</t>
    </rPh>
    <phoneticPr fontId="3"/>
  </si>
  <si>
    <r>
      <rPr>
        <sz val="11"/>
        <color theme="1"/>
        <rFont val="ＭＳ 明朝"/>
        <family val="1"/>
        <charset val="128"/>
      </rPr>
      <t>外国船漁獲含む
太平洋全体の漁獲量</t>
    </r>
    <rPh sb="0" eb="3">
      <t>ガイコクセン</t>
    </rPh>
    <rPh sb="3" eb="5">
      <t>ギョカク</t>
    </rPh>
    <rPh sb="5" eb="6">
      <t>フク</t>
    </rPh>
    <rPh sb="8" eb="11">
      <t>タイヘイヨウ</t>
    </rPh>
    <rPh sb="11" eb="13">
      <t>ゼンタイ</t>
    </rPh>
    <rPh sb="14" eb="17">
      <t>ギョカクリョウ</t>
    </rPh>
    <phoneticPr fontId="3"/>
  </si>
  <si>
    <r>
      <rPr>
        <sz val="11"/>
        <rFont val="ＭＳ Ｐ明朝"/>
        <family val="1"/>
        <charset val="128"/>
      </rPr>
      <t>補足表</t>
    </r>
    <r>
      <rPr>
        <sz val="11"/>
        <rFont val="Times New Roman"/>
        <family val="1"/>
      </rPr>
      <t>4-1.</t>
    </r>
    <r>
      <rPr>
        <sz val="11"/>
        <rFont val="ＭＳ Ｐ明朝"/>
        <family val="1"/>
        <charset val="128"/>
      </rPr>
      <t>　産卵量（兆粒）</t>
    </r>
    <rPh sb="0" eb="2">
      <t>ホソク</t>
    </rPh>
    <phoneticPr fontId="3"/>
  </si>
  <si>
    <t>卵稚仔調査協議会による前年10月から当年9月までの集計値（2024年は5月までの暫定値）。</t>
    <rPh sb="18" eb="20">
      <t>トウネン</t>
    </rPh>
    <phoneticPr fontId="3"/>
  </si>
  <si>
    <r>
      <rPr>
        <sz val="11"/>
        <rFont val="ＭＳ Ｐ明朝"/>
        <family val="1"/>
        <charset val="128"/>
      </rPr>
      <t>補足表</t>
    </r>
    <r>
      <rPr>
        <sz val="11"/>
        <rFont val="Times New Roman"/>
        <family val="1"/>
      </rPr>
      <t>4-2.</t>
    </r>
    <r>
      <rPr>
        <sz val="11"/>
        <rFont val="ＭＳ Ｐ明朝"/>
        <family val="1"/>
        <charset val="128"/>
      </rPr>
      <t>　移行域幼稚魚調査（</t>
    </r>
    <r>
      <rPr>
        <sz val="11"/>
        <rFont val="Times New Roman"/>
        <family val="1"/>
      </rPr>
      <t>5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月）による移行域加入量指数</t>
    </r>
    <rPh sb="0" eb="2">
      <t>ホソク</t>
    </rPh>
    <rPh sb="25" eb="27">
      <t>イコウ</t>
    </rPh>
    <rPh sb="27" eb="28">
      <t>イキ</t>
    </rPh>
    <rPh sb="28" eb="30">
      <t>カニュウ</t>
    </rPh>
    <phoneticPr fontId="3"/>
  </si>
  <si>
    <r>
      <rPr>
        <sz val="11"/>
        <rFont val="ＭＳ Ｐ明朝"/>
        <family val="1"/>
        <charset val="128"/>
      </rPr>
      <t>補足表</t>
    </r>
    <r>
      <rPr>
        <sz val="11"/>
        <rFont val="Times New Roman"/>
        <family val="1"/>
      </rPr>
      <t>4-3.</t>
    </r>
    <r>
      <rPr>
        <sz val="11"/>
        <rFont val="ＭＳ Ｐ明朝"/>
        <family val="1"/>
        <charset val="128"/>
      </rPr>
      <t>　未成魚越冬群指数（千葉水総研、茨城水試）</t>
    </r>
    <rPh sb="0" eb="2">
      <t>ホソク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</si>
</sst>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#,##0_);[Red]\(#,##0\)"/>
    <numFmt numFmtId="177" formatCode="#,##0.0_);[Red]\(#,##0.0\)"/>
    <numFmt numFmtId="178" formatCode="#,##0_ "/>
    <numFmt numFmtId="179" formatCode="#,##0.0_ ;[Red]\-#,##0.0\ "/>
    <numFmt numFmtId="180" formatCode="#,##0_ ;[Red]\-#,##0\ "/>
    <numFmt numFmtId="181" formatCode="#,##0.0_ "/>
    <numFmt numFmtId="182" formatCode="#,##0.00_ ;[Red]\-#,##0.00\ "/>
    <numFmt numFmtId="183" formatCode="0.0%"/>
    <numFmt numFmtId="184" formatCode="0_ "/>
    <numFmt numFmtId="185" formatCode="0.0"/>
    <numFmt numFmtId="186" formatCode="#,##0.0;[Red]\-#,##0.0"/>
    <numFmt numFmtId="187" formatCode="#,##0.00_);[Red]\(#,##0.00\)"/>
    <numFmt numFmtId="188" formatCode="0.00_ "/>
    <numFmt numFmtId="189" formatCode="0.0_);[Red]\(0.0\)"/>
    <numFmt numFmtId="190" formatCode="#,##0.00_ "/>
  </numFmts>
  <fonts count="67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明朝"/>
      <family val="2"/>
      <charset val="128"/>
      <scheme val="major"/>
    </font>
    <font>
      <sz val="6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12"/>
      <name val="リュウミンライト－ＫＬ"/>
      <family val="3"/>
      <charset val="128"/>
    </font>
    <font>
      <sz val="14"/>
      <name val="リュウミンライト－ＫＬ"/>
      <family val="3"/>
      <charset val="128"/>
    </font>
    <font>
      <sz val="10"/>
      <name val="ＭＳ 明朝"/>
      <family val="1"/>
      <charset val="128"/>
    </font>
    <font>
      <sz val="11"/>
      <color indexed="22"/>
      <name val="Times New Roman"/>
      <family val="1"/>
    </font>
    <font>
      <sz val="11"/>
      <color theme="0" tint="-0.499984740745262"/>
      <name val="Times New Roman"/>
      <family val="1"/>
    </font>
    <font>
      <sz val="10"/>
      <name val="Times New Roman"/>
      <family val="1"/>
    </font>
    <font>
      <sz val="11"/>
      <name val="ＭＳ Ｐ明朝"/>
      <family val="1"/>
      <charset val="128"/>
    </font>
    <font>
      <b/>
      <u/>
      <sz val="11"/>
      <name val="Times New Roman"/>
      <family val="1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Times New Roman"/>
      <family val="1"/>
    </font>
    <font>
      <sz val="11"/>
      <name val="Times New Roman"/>
      <family val="1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11"/>
      <name val="明朝"/>
      <family val="1"/>
      <charset val="128"/>
    </font>
    <font>
      <sz val="12"/>
      <name val="Osaka"/>
      <family val="3"/>
      <charset val="128"/>
    </font>
    <font>
      <sz val="11"/>
      <name val="Osaka"/>
      <family val="3"/>
      <charset val="128"/>
    </font>
    <font>
      <sz val="14"/>
      <color indexed="10"/>
      <name val="リュウミンライト－ＫＬ"/>
      <family val="3"/>
      <charset val="128"/>
    </font>
    <font>
      <sz val="12"/>
      <color indexed="22"/>
      <name val="Times New Roman"/>
      <family val="1"/>
    </font>
    <font>
      <sz val="10.5"/>
      <name val="Times New Roman"/>
      <family val="1"/>
    </font>
    <font>
      <sz val="10.5"/>
      <name val="ＭＳ 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0.5"/>
      <color theme="1"/>
      <name val="ＭＳ Ｐ明朝"/>
      <family val="1"/>
      <charset val="128"/>
    </font>
    <font>
      <sz val="11"/>
      <color theme="1"/>
      <name val="ＭＳ 明朝"/>
      <family val="1"/>
      <charset val="128"/>
    </font>
    <font>
      <sz val="11"/>
      <color theme="1"/>
      <name val="ＭＳ Ｐ明朝"/>
      <family val="1"/>
      <charset val="128"/>
    </font>
    <font>
      <b/>
      <sz val="11"/>
      <color theme="1"/>
      <name val="ＭＳ Ｐゴシック"/>
      <family val="2"/>
      <charset val="128"/>
      <scheme val="minor"/>
    </font>
    <font>
      <sz val="8"/>
      <name val="Times New Roman"/>
      <family val="1"/>
    </font>
    <font>
      <sz val="12"/>
      <name val="Yu Gothic"/>
      <family val="1"/>
      <charset val="128"/>
    </font>
    <font>
      <sz val="11"/>
      <color theme="1"/>
      <name val="Yu Gothic"/>
      <family val="1"/>
      <charset val="128"/>
    </font>
    <font>
      <sz val="11"/>
      <color rgb="FFFF000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FF0000"/>
      <name val="ＭＳ Ｐ明朝"/>
      <family val="1"/>
      <charset val="128"/>
    </font>
    <font>
      <sz val="8"/>
      <color theme="1"/>
      <name val="Times New Roman"/>
      <family val="1"/>
    </font>
    <font>
      <sz val="8"/>
      <name val="ＭＳ Ｐ明朝"/>
      <family val="1"/>
      <charset val="128"/>
    </font>
    <font>
      <sz val="6"/>
      <name val="Osaka"/>
      <family val="3"/>
      <charset val="128"/>
    </font>
    <font>
      <vertAlign val="subscript"/>
      <sz val="11"/>
      <color theme="1"/>
      <name val="ＭＳ Ｐゴシック"/>
      <family val="3"/>
      <charset val="128"/>
      <scheme val="minor"/>
    </font>
    <font>
      <sz val="11"/>
      <name val="游ゴシック"/>
      <family val="1"/>
      <charset val="128"/>
    </font>
    <font>
      <sz val="11"/>
      <name val="Times New Roman"/>
      <family val="3"/>
      <charset val="128"/>
    </font>
    <font>
      <vertAlign val="superscript"/>
      <sz val="12"/>
      <name val="ＭＳ 明朝"/>
      <family val="1"/>
      <charset val="128"/>
    </font>
    <font>
      <sz val="12"/>
      <name val="ＭＳ Ｐ明朝"/>
      <family val="1"/>
      <charset val="128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6"/>
      <color rgb="FF0070C0"/>
      <name val="Times New Roman"/>
      <family val="1"/>
    </font>
    <font>
      <sz val="11"/>
      <color theme="1"/>
      <name val="ＭＳ Ｐゴシック"/>
      <family val="3"/>
      <charset val="128"/>
    </font>
    <font>
      <sz val="11"/>
      <color rgb="FFFF0000"/>
      <name val="Times New Roman"/>
      <family val="1"/>
    </font>
    <font>
      <b/>
      <sz val="11"/>
      <color rgb="FFFF0000"/>
      <name val="ＭＳ 明朝"/>
      <family val="1"/>
      <charset val="128"/>
    </font>
    <font>
      <b/>
      <sz val="11"/>
      <color theme="9"/>
      <name val="ＭＳ 明朝"/>
      <family val="1"/>
      <charset val="128"/>
    </font>
    <font>
      <sz val="8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b/>
      <sz val="12"/>
      <color rgb="FFFF0000"/>
      <name val="Times New Roman"/>
      <family val="1"/>
    </font>
    <font>
      <b/>
      <sz val="11"/>
      <color rgb="FFFF0000"/>
      <name val="ＭＳ Ｐ明朝"/>
      <family val="1"/>
      <charset val="128"/>
    </font>
    <font>
      <sz val="10.5"/>
      <color rgb="FF000000"/>
      <name val="ＭＳ Ｐ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7"/>
      <color theme="1"/>
      <name val="Times New Roman"/>
      <family val="1"/>
    </font>
    <font>
      <sz val="11"/>
      <name val="ＭＳ Ｐゴシック"/>
      <family val="3"/>
      <charset val="128"/>
      <scheme val="minor"/>
    </font>
    <font>
      <sz val="10.5"/>
      <name val="ＭＳ Ｐ明朝"/>
      <family val="1"/>
      <charset val="128"/>
    </font>
    <font>
      <b/>
      <sz val="1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1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7" fillId="0" borderId="0"/>
    <xf numFmtId="0" fontId="8" fillId="2" borderId="0"/>
    <xf numFmtId="38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" fillId="0" borderId="0"/>
    <xf numFmtId="0" fontId="15" fillId="0" borderId="0"/>
    <xf numFmtId="0" fontId="22" fillId="0" borderId="0"/>
    <xf numFmtId="38" fontId="1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297">
    <xf numFmtId="0" fontId="0" fillId="0" borderId="0" xfId="0">
      <alignment vertical="center"/>
    </xf>
    <xf numFmtId="0" fontId="5" fillId="0" borderId="0" xfId="3" applyFont="1" applyFill="1"/>
    <xf numFmtId="178" fontId="5" fillId="0" borderId="0" xfId="3" applyNumberFormat="1" applyFont="1" applyFill="1"/>
    <xf numFmtId="0" fontId="5" fillId="0" borderId="0" xfId="3" applyFont="1" applyFill="1" applyAlignment="1">
      <alignment horizontal="center"/>
    </xf>
    <xf numFmtId="180" fontId="5" fillId="0" borderId="0" xfId="3" applyNumberFormat="1" applyFont="1" applyFill="1"/>
    <xf numFmtId="178" fontId="11" fillId="0" borderId="0" xfId="3" applyNumberFormat="1" applyFont="1" applyFill="1"/>
    <xf numFmtId="178" fontId="10" fillId="0" borderId="0" xfId="3" applyNumberFormat="1" applyFont="1" applyFill="1"/>
    <xf numFmtId="0" fontId="10" fillId="0" borderId="0" xfId="3" applyFont="1" applyFill="1" applyAlignment="1">
      <alignment horizontal="center"/>
    </xf>
    <xf numFmtId="177" fontId="5" fillId="0" borderId="0" xfId="3" applyNumberFormat="1" applyFont="1" applyFill="1"/>
    <xf numFmtId="0" fontId="11" fillId="0" borderId="0" xfId="3" applyFont="1" applyFill="1"/>
    <xf numFmtId="0" fontId="5" fillId="0" borderId="0" xfId="0" applyFont="1" applyAlignment="1"/>
    <xf numFmtId="178" fontId="0" fillId="0" borderId="0" xfId="0" applyNumberFormat="1">
      <alignment vertical="center"/>
    </xf>
    <xf numFmtId="178" fontId="5" fillId="0" borderId="7" xfId="7" applyNumberFormat="1" applyFont="1" applyBorder="1" applyAlignment="1">
      <alignment horizontal="center"/>
    </xf>
    <xf numFmtId="0" fontId="5" fillId="0" borderId="0" xfId="2" applyFont="1"/>
    <xf numFmtId="181" fontId="0" fillId="0" borderId="0" xfId="0" applyNumberFormat="1">
      <alignment vertical="center"/>
    </xf>
    <xf numFmtId="0" fontId="18" fillId="0" borderId="0" xfId="3" applyFont="1" applyFill="1"/>
    <xf numFmtId="0" fontId="6" fillId="0" borderId="0" xfId="3" applyFont="1" applyFill="1"/>
    <xf numFmtId="0" fontId="18" fillId="0" borderId="0" xfId="0" applyFont="1" applyAlignment="1"/>
    <xf numFmtId="184" fontId="5" fillId="0" borderId="0" xfId="3" applyNumberFormat="1" applyFont="1" applyFill="1" applyAlignment="1">
      <alignment horizontal="center"/>
    </xf>
    <xf numFmtId="181" fontId="5" fillId="0" borderId="0" xfId="3" applyNumberFormat="1" applyFont="1" applyFill="1"/>
    <xf numFmtId="0" fontId="6" fillId="0" borderId="6" xfId="3" applyFont="1" applyFill="1" applyBorder="1" applyAlignment="1">
      <alignment horizontal="center"/>
    </xf>
    <xf numFmtId="0" fontId="0" fillId="0" borderId="0" xfId="0" applyAlignment="1"/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81" fontId="5" fillId="0" borderId="2" xfId="0" applyNumberFormat="1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78" fontId="5" fillId="0" borderId="3" xfId="0" applyNumberFormat="1" applyFont="1" applyBorder="1">
      <alignment vertical="center"/>
    </xf>
    <xf numFmtId="181" fontId="5" fillId="0" borderId="3" xfId="0" applyNumberFormat="1" applyFont="1" applyBorder="1">
      <alignment vertical="center"/>
    </xf>
    <xf numFmtId="0" fontId="19" fillId="0" borderId="0" xfId="3" applyFont="1" applyFill="1"/>
    <xf numFmtId="38" fontId="5" fillId="0" borderId="0" xfId="4" applyFont="1" applyFill="1" applyBorder="1"/>
    <xf numFmtId="0" fontId="12" fillId="0" borderId="0" xfId="3" applyFont="1" applyFill="1"/>
    <xf numFmtId="0" fontId="10" fillId="0" borderId="0" xfId="3" applyFont="1" applyFill="1"/>
    <xf numFmtId="182" fontId="5" fillId="0" borderId="0" xfId="0" applyNumberFormat="1" applyFont="1" applyAlignment="1"/>
    <xf numFmtId="0" fontId="5" fillId="0" borderId="0" xfId="6" applyFont="1"/>
    <xf numFmtId="0" fontId="5" fillId="0" borderId="0" xfId="2" applyFont="1" applyAlignment="1">
      <alignment horizontal="center"/>
    </xf>
    <xf numFmtId="0" fontId="10" fillId="0" borderId="0" xfId="2" applyFont="1"/>
    <xf numFmtId="184" fontId="5" fillId="0" borderId="0" xfId="0" applyNumberFormat="1" applyFont="1" applyAlignment="1"/>
    <xf numFmtId="184" fontId="0" fillId="0" borderId="0" xfId="0" applyNumberFormat="1">
      <alignment vertical="center"/>
    </xf>
    <xf numFmtId="178" fontId="5" fillId="0" borderId="0" xfId="0" applyNumberFormat="1" applyFont="1" applyAlignment="1"/>
    <xf numFmtId="184" fontId="5" fillId="0" borderId="0" xfId="3" applyNumberFormat="1" applyFont="1" applyFill="1" applyAlignment="1">
      <alignment horizontal="right"/>
    </xf>
    <xf numFmtId="184" fontId="17" fillId="0" borderId="0" xfId="0" applyNumberFormat="1" applyFont="1">
      <alignment vertical="center"/>
    </xf>
    <xf numFmtId="178" fontId="17" fillId="0" borderId="0" xfId="0" applyNumberFormat="1" applyFont="1">
      <alignment vertical="center"/>
    </xf>
    <xf numFmtId="178" fontId="14" fillId="0" borderId="0" xfId="3" applyNumberFormat="1" applyFont="1" applyFill="1"/>
    <xf numFmtId="0" fontId="28" fillId="0" borderId="0" xfId="0" applyFont="1" applyAlignment="1">
      <alignment horizontal="justify" vertical="center" wrapText="1"/>
    </xf>
    <xf numFmtId="0" fontId="28" fillId="0" borderId="15" xfId="0" applyFont="1" applyBorder="1" applyAlignment="1">
      <alignment horizontal="justify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/>
    </xf>
    <xf numFmtId="181" fontId="5" fillId="0" borderId="1" xfId="0" applyNumberFormat="1" applyFont="1" applyBorder="1">
      <alignment vertical="center"/>
    </xf>
    <xf numFmtId="181" fontId="5" fillId="0" borderId="12" xfId="0" applyNumberFormat="1" applyFont="1" applyBorder="1">
      <alignment vertical="center"/>
    </xf>
    <xf numFmtId="181" fontId="5" fillId="0" borderId="14" xfId="0" applyNumberFormat="1" applyFont="1" applyBorder="1">
      <alignment vertical="center"/>
    </xf>
    <xf numFmtId="181" fontId="5" fillId="0" borderId="6" xfId="0" applyNumberFormat="1" applyFont="1" applyBorder="1">
      <alignment vertical="center"/>
    </xf>
    <xf numFmtId="181" fontId="5" fillId="0" borderId="0" xfId="0" applyNumberFormat="1" applyFont="1">
      <alignment vertical="center"/>
    </xf>
    <xf numFmtId="181" fontId="5" fillId="0" borderId="7" xfId="0" applyNumberFormat="1" applyFont="1" applyBorder="1">
      <alignment vertical="center"/>
    </xf>
    <xf numFmtId="0" fontId="5" fillId="3" borderId="0" xfId="8" applyFont="1" applyFill="1"/>
    <xf numFmtId="178" fontId="5" fillId="3" borderId="0" xfId="3" applyNumberFormat="1" applyFont="1" applyFill="1"/>
    <xf numFmtId="184" fontId="5" fillId="0" borderId="19" xfId="3" applyNumberFormat="1" applyFont="1" applyFill="1" applyBorder="1" applyAlignment="1">
      <alignment horizontal="right"/>
    </xf>
    <xf numFmtId="181" fontId="5" fillId="0" borderId="7" xfId="3" applyNumberFormat="1" applyFont="1" applyFill="1" applyBorder="1"/>
    <xf numFmtId="184" fontId="5" fillId="0" borderId="19" xfId="3" applyNumberFormat="1" applyFont="1" applyFill="1" applyBorder="1" applyAlignment="1">
      <alignment horizontal="center"/>
    </xf>
    <xf numFmtId="178" fontId="5" fillId="0" borderId="7" xfId="3" applyNumberFormat="1" applyFont="1" applyFill="1" applyBorder="1" applyAlignment="1">
      <alignment horizontal="center" vertical="center"/>
    </xf>
    <xf numFmtId="184" fontId="5" fillId="0" borderId="6" xfId="3" applyNumberFormat="1" applyFont="1" applyFill="1" applyBorder="1" applyAlignment="1">
      <alignment horizontal="center"/>
    </xf>
    <xf numFmtId="0" fontId="19" fillId="3" borderId="7" xfId="3" applyFont="1" applyFill="1" applyBorder="1"/>
    <xf numFmtId="0" fontId="19" fillId="3" borderId="7" xfId="3" applyFont="1" applyFill="1" applyBorder="1" applyAlignment="1">
      <alignment horizontal="center"/>
    </xf>
    <xf numFmtId="184" fontId="19" fillId="3" borderId="7" xfId="3" applyNumberFormat="1" applyFont="1" applyFill="1" applyBorder="1" applyAlignment="1">
      <alignment horizontal="right"/>
    </xf>
    <xf numFmtId="184" fontId="19" fillId="3" borderId="7" xfId="3" applyNumberFormat="1" applyFont="1" applyFill="1" applyBorder="1" applyAlignment="1">
      <alignment shrinkToFit="1"/>
    </xf>
    <xf numFmtId="184" fontId="19" fillId="3" borderId="7" xfId="3" applyNumberFormat="1" applyFont="1" applyFill="1" applyBorder="1" applyAlignment="1">
      <alignment horizontal="right" shrinkToFit="1"/>
    </xf>
    <xf numFmtId="184" fontId="19" fillId="3" borderId="8" xfId="3" applyNumberFormat="1" applyFont="1" applyFill="1" applyBorder="1" applyAlignment="1">
      <alignment horizontal="right" shrinkToFit="1"/>
    </xf>
    <xf numFmtId="0" fontId="19" fillId="3" borderId="0" xfId="3" applyFont="1" applyFill="1" applyAlignment="1">
      <alignment horizontal="center"/>
    </xf>
    <xf numFmtId="176" fontId="19" fillId="3" borderId="0" xfId="3" applyNumberFormat="1" applyFont="1" applyFill="1"/>
    <xf numFmtId="176" fontId="19" fillId="3" borderId="0" xfId="3" applyNumberFormat="1" applyFont="1" applyFill="1" applyAlignment="1">
      <alignment shrinkToFit="1"/>
    </xf>
    <xf numFmtId="38" fontId="20" fillId="3" borderId="8" xfId="9" applyFont="1" applyFill="1" applyBorder="1" applyAlignment="1">
      <alignment horizontal="center"/>
    </xf>
    <xf numFmtId="176" fontId="19" fillId="3" borderId="8" xfId="3" applyNumberFormat="1" applyFont="1" applyFill="1" applyBorder="1"/>
    <xf numFmtId="180" fontId="19" fillId="3" borderId="8" xfId="3" applyNumberFormat="1" applyFont="1" applyFill="1" applyBorder="1"/>
    <xf numFmtId="0" fontId="19" fillId="3" borderId="0" xfId="3" applyFont="1" applyFill="1"/>
    <xf numFmtId="0" fontId="25" fillId="3" borderId="0" xfId="3" applyFont="1" applyFill="1"/>
    <xf numFmtId="178" fontId="19" fillId="3" borderId="0" xfId="3" applyNumberFormat="1" applyFont="1" applyFill="1"/>
    <xf numFmtId="179" fontId="19" fillId="3" borderId="0" xfId="3" applyNumberFormat="1" applyFont="1" applyFill="1"/>
    <xf numFmtId="179" fontId="19" fillId="3" borderId="0" xfId="3" applyNumberFormat="1" applyFont="1" applyFill="1" applyAlignment="1">
      <alignment shrinkToFit="1"/>
    </xf>
    <xf numFmtId="183" fontId="19" fillId="3" borderId="8" xfId="10" applyNumberFormat="1" applyFont="1" applyFill="1" applyBorder="1" applyAlignment="1"/>
    <xf numFmtId="0" fontId="20" fillId="3" borderId="8" xfId="3" applyFont="1" applyFill="1" applyBorder="1" applyAlignment="1">
      <alignment horizontal="center" shrinkToFit="1"/>
    </xf>
    <xf numFmtId="183" fontId="19" fillId="3" borderId="8" xfId="10" applyNumberFormat="1" applyFont="1" applyFill="1" applyBorder="1" applyAlignment="1">
      <alignment shrinkToFit="1"/>
    </xf>
    <xf numFmtId="0" fontId="19" fillId="3" borderId="0" xfId="0" applyFont="1" applyFill="1" applyAlignment="1"/>
    <xf numFmtId="0" fontId="19" fillId="3" borderId="0" xfId="0" applyFont="1" applyFill="1" applyAlignment="1">
      <alignment horizontal="right"/>
    </xf>
    <xf numFmtId="0" fontId="19" fillId="3" borderId="7" xfId="0" applyFont="1" applyFill="1" applyBorder="1" applyAlignment="1"/>
    <xf numFmtId="0" fontId="19" fillId="3" borderId="7" xfId="0" applyFont="1" applyFill="1" applyBorder="1" applyAlignment="1">
      <alignment horizontal="right"/>
    </xf>
    <xf numFmtId="182" fontId="19" fillId="3" borderId="0" xfId="3" applyNumberFormat="1" applyFont="1" applyFill="1"/>
    <xf numFmtId="182" fontId="19" fillId="3" borderId="0" xfId="3" applyNumberFormat="1" applyFont="1" applyFill="1" applyAlignment="1">
      <alignment shrinkToFit="1"/>
    </xf>
    <xf numFmtId="38" fontId="19" fillId="3" borderId="8" xfId="9" applyFont="1" applyFill="1" applyBorder="1" applyAlignment="1">
      <alignment horizontal="center"/>
    </xf>
    <xf numFmtId="182" fontId="19" fillId="3" borderId="8" xfId="3" applyNumberFormat="1" applyFont="1" applyFill="1" applyBorder="1"/>
    <xf numFmtId="182" fontId="19" fillId="3" borderId="8" xfId="3" applyNumberFormat="1" applyFont="1" applyFill="1" applyBorder="1" applyAlignment="1">
      <alignment shrinkToFit="1"/>
    </xf>
    <xf numFmtId="38" fontId="19" fillId="3" borderId="0" xfId="9" applyFont="1" applyFill="1" applyBorder="1" applyAlignment="1">
      <alignment horizontal="center"/>
    </xf>
    <xf numFmtId="178" fontId="19" fillId="3" borderId="0" xfId="3" applyNumberFormat="1" applyFont="1" applyFill="1" applyAlignment="1">
      <alignment shrinkToFit="1"/>
    </xf>
    <xf numFmtId="38" fontId="19" fillId="3" borderId="7" xfId="9" applyFont="1" applyFill="1" applyBorder="1"/>
    <xf numFmtId="180" fontId="19" fillId="3" borderId="0" xfId="3" applyNumberFormat="1" applyFont="1" applyFill="1"/>
    <xf numFmtId="180" fontId="19" fillId="3" borderId="0" xfId="3" applyNumberFormat="1" applyFont="1" applyFill="1" applyAlignment="1">
      <alignment shrinkToFit="1"/>
    </xf>
    <xf numFmtId="178" fontId="19" fillId="3" borderId="8" xfId="0" applyNumberFormat="1" applyFont="1" applyFill="1" applyBorder="1" applyAlignment="1"/>
    <xf numFmtId="178" fontId="19" fillId="3" borderId="8" xfId="0" applyNumberFormat="1" applyFont="1" applyFill="1" applyBorder="1" applyAlignment="1">
      <alignment shrinkToFit="1"/>
    </xf>
    <xf numFmtId="0" fontId="19" fillId="3" borderId="8" xfId="3" applyFont="1" applyFill="1" applyBorder="1" applyAlignment="1">
      <alignment horizontal="center"/>
    </xf>
    <xf numFmtId="181" fontId="19" fillId="3" borderId="8" xfId="0" applyNumberFormat="1" applyFont="1" applyFill="1" applyBorder="1" applyAlignment="1"/>
    <xf numFmtId="181" fontId="19" fillId="3" borderId="8" xfId="0" applyNumberFormat="1" applyFont="1" applyFill="1" applyBorder="1" applyAlignment="1">
      <alignment shrinkToFit="1"/>
    </xf>
    <xf numFmtId="176" fontId="19" fillId="3" borderId="7" xfId="3" applyNumberFormat="1" applyFont="1" applyFill="1" applyBorder="1"/>
    <xf numFmtId="176" fontId="19" fillId="3" borderId="7" xfId="3" applyNumberFormat="1" applyFont="1" applyFill="1" applyBorder="1" applyAlignment="1">
      <alignment shrinkToFit="1"/>
    </xf>
    <xf numFmtId="0" fontId="17" fillId="0" borderId="7" xfId="0" applyFont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17" fillId="0" borderId="15" xfId="0" applyNumberFormat="1" applyFont="1" applyBorder="1" applyAlignment="1">
      <alignment horizontal="center" vertical="center" wrapText="1"/>
    </xf>
    <xf numFmtId="0" fontId="5" fillId="3" borderId="0" xfId="3" applyFont="1" applyFill="1"/>
    <xf numFmtId="0" fontId="5" fillId="0" borderId="0" xfId="8" applyFont="1"/>
    <xf numFmtId="0" fontId="37" fillId="0" borderId="0" xfId="0" applyFont="1">
      <alignment vertical="center"/>
    </xf>
    <xf numFmtId="0" fontId="39" fillId="0" borderId="0" xfId="0" applyFont="1">
      <alignment vertical="center"/>
    </xf>
    <xf numFmtId="0" fontId="41" fillId="4" borderId="18" xfId="0" applyFont="1" applyFill="1" applyBorder="1" applyAlignment="1">
      <alignment horizontal="center" vertical="center"/>
    </xf>
    <xf numFmtId="0" fontId="41" fillId="4" borderId="18" xfId="0" applyFont="1" applyFill="1" applyBorder="1">
      <alignment vertical="center"/>
    </xf>
    <xf numFmtId="0" fontId="41" fillId="4" borderId="18" xfId="0" applyFont="1" applyFill="1" applyBorder="1" applyAlignment="1">
      <alignment horizontal="right" vertical="center" wrapText="1"/>
    </xf>
    <xf numFmtId="185" fontId="34" fillId="4" borderId="10" xfId="0" applyNumberFormat="1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0" borderId="18" xfId="0" applyFont="1" applyBorder="1">
      <alignment vertical="center"/>
    </xf>
    <xf numFmtId="185" fontId="34" fillId="4" borderId="18" xfId="0" applyNumberFormat="1" applyFont="1" applyFill="1" applyBorder="1" applyAlignment="1">
      <alignment horizontal="center" vertical="center"/>
    </xf>
    <xf numFmtId="188" fontId="34" fillId="4" borderId="10" xfId="0" applyNumberFormat="1" applyFont="1" applyFill="1" applyBorder="1" applyAlignment="1">
      <alignment horizontal="center" vertical="center"/>
    </xf>
    <xf numFmtId="0" fontId="41" fillId="0" borderId="3" xfId="0" applyFont="1" applyBorder="1">
      <alignment vertical="center"/>
    </xf>
    <xf numFmtId="185" fontId="34" fillId="4" borderId="1" xfId="0" applyNumberFormat="1" applyFont="1" applyFill="1" applyBorder="1" applyAlignment="1">
      <alignment horizontal="center" vertical="center"/>
    </xf>
    <xf numFmtId="188" fontId="34" fillId="4" borderId="4" xfId="0" applyNumberFormat="1" applyFont="1" applyFill="1" applyBorder="1" applyAlignment="1">
      <alignment horizontal="center" vertical="center"/>
    </xf>
    <xf numFmtId="185" fontId="34" fillId="4" borderId="3" xfId="0" applyNumberFormat="1" applyFont="1" applyFill="1" applyBorder="1" applyAlignment="1">
      <alignment horizontal="center" vertical="center"/>
    </xf>
    <xf numFmtId="185" fontId="42" fillId="4" borderId="18" xfId="0" applyNumberFormat="1" applyFont="1" applyFill="1" applyBorder="1" applyAlignment="1">
      <alignment horizontal="center" vertical="center" shrinkToFit="1"/>
    </xf>
    <xf numFmtId="0" fontId="0" fillId="0" borderId="7" xfId="0" applyBorder="1">
      <alignment vertical="center"/>
    </xf>
    <xf numFmtId="0" fontId="46" fillId="0" borderId="0" xfId="8" applyFont="1"/>
    <xf numFmtId="0" fontId="20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90" fontId="19" fillId="0" borderId="0" xfId="0" applyNumberFormat="1" applyFont="1" applyAlignment="1">
      <alignment horizontal="center"/>
    </xf>
    <xf numFmtId="190" fontId="19" fillId="0" borderId="7" xfId="0" applyNumberFormat="1" applyFont="1" applyBorder="1" applyAlignment="1">
      <alignment horizontal="center"/>
    </xf>
    <xf numFmtId="11" fontId="19" fillId="0" borderId="0" xfId="0" applyNumberFormat="1" applyFont="1" applyAlignment="1">
      <alignment horizontal="center"/>
    </xf>
    <xf numFmtId="188" fontId="19" fillId="0" borderId="0" xfId="0" applyNumberFormat="1" applyFont="1" applyAlignment="1">
      <alignment horizontal="center"/>
    </xf>
    <xf numFmtId="188" fontId="19" fillId="0" borderId="7" xfId="0" applyNumberFormat="1" applyFont="1" applyBorder="1" applyAlignment="1">
      <alignment horizontal="center"/>
    </xf>
    <xf numFmtId="0" fontId="20" fillId="3" borderId="0" xfId="3" applyFont="1" applyFill="1" applyAlignment="1">
      <alignment horizontal="left"/>
    </xf>
    <xf numFmtId="0" fontId="19" fillId="3" borderId="0" xfId="8" applyFont="1" applyFill="1"/>
    <xf numFmtId="184" fontId="19" fillId="3" borderId="8" xfId="3" applyNumberFormat="1" applyFont="1" applyFill="1" applyBorder="1"/>
    <xf numFmtId="187" fontId="19" fillId="3" borderId="0" xfId="3" applyNumberFormat="1" applyFont="1" applyFill="1"/>
    <xf numFmtId="187" fontId="19" fillId="3" borderId="8" xfId="3" applyNumberFormat="1" applyFont="1" applyFill="1" applyBorder="1"/>
    <xf numFmtId="0" fontId="20" fillId="3" borderId="0" xfId="3" applyFont="1" applyFill="1"/>
    <xf numFmtId="0" fontId="19" fillId="3" borderId="0" xfId="2" applyFont="1" applyFill="1"/>
    <xf numFmtId="0" fontId="48" fillId="3" borderId="8" xfId="3" applyFont="1" applyFill="1" applyBorder="1" applyAlignment="1">
      <alignment horizontal="center"/>
    </xf>
    <xf numFmtId="0" fontId="19" fillId="3" borderId="6" xfId="3" applyFont="1" applyFill="1" applyBorder="1" applyAlignment="1">
      <alignment horizontal="center"/>
    </xf>
    <xf numFmtId="183" fontId="19" fillId="3" borderId="8" xfId="10" applyNumberFormat="1" applyFont="1" applyFill="1" applyBorder="1"/>
    <xf numFmtId="184" fontId="5" fillId="3" borderId="19" xfId="3" applyNumberFormat="1" applyFont="1" applyFill="1" applyBorder="1" applyAlignment="1">
      <alignment horizontal="right" vertical="center"/>
    </xf>
    <xf numFmtId="178" fontId="5" fillId="3" borderId="0" xfId="3" applyNumberFormat="1" applyFont="1" applyFill="1" applyAlignment="1">
      <alignment horizontal="right" vertical="center"/>
    </xf>
    <xf numFmtId="180" fontId="5" fillId="3" borderId="7" xfId="3" applyNumberFormat="1" applyFont="1" applyFill="1" applyBorder="1" applyAlignment="1">
      <alignment horizontal="right" vertical="center"/>
    </xf>
    <xf numFmtId="184" fontId="5" fillId="3" borderId="19" xfId="3" applyNumberFormat="1" applyFont="1" applyFill="1" applyBorder="1" applyAlignment="1">
      <alignment horizontal="right"/>
    </xf>
    <xf numFmtId="0" fontId="5" fillId="3" borderId="19" xfId="3" applyFont="1" applyFill="1" applyBorder="1" applyAlignment="1">
      <alignment horizontal="center"/>
    </xf>
    <xf numFmtId="178" fontId="5" fillId="3" borderId="7" xfId="3" applyNumberFormat="1" applyFont="1" applyFill="1" applyBorder="1" applyAlignment="1">
      <alignment horizontal="right" vertical="center"/>
    </xf>
    <xf numFmtId="178" fontId="5" fillId="0" borderId="0" xfId="3" applyNumberFormat="1" applyFont="1" applyFill="1" applyAlignment="1">
      <alignment horizontal="center" vertical="center"/>
    </xf>
    <xf numFmtId="0" fontId="17" fillId="0" borderId="0" xfId="0" applyFont="1">
      <alignment vertical="center"/>
    </xf>
    <xf numFmtId="0" fontId="49" fillId="0" borderId="0" xfId="0" applyFont="1">
      <alignment vertical="center"/>
    </xf>
    <xf numFmtId="0" fontId="50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1" fillId="0" borderId="0" xfId="0" applyFont="1">
      <alignment vertical="center"/>
    </xf>
    <xf numFmtId="0" fontId="19" fillId="0" borderId="0" xfId="0" applyFont="1" applyAlignment="1"/>
    <xf numFmtId="181" fontId="5" fillId="0" borderId="5" xfId="0" applyNumberFormat="1" applyFont="1" applyBorder="1" applyAlignment="1"/>
    <xf numFmtId="181" fontId="5" fillId="0" borderId="1" xfId="0" applyNumberFormat="1" applyFont="1" applyBorder="1" applyAlignment="1"/>
    <xf numFmtId="178" fontId="5" fillId="0" borderId="1" xfId="0" applyNumberFormat="1" applyFont="1" applyBorder="1" applyAlignment="1"/>
    <xf numFmtId="3" fontId="5" fillId="0" borderId="1" xfId="0" applyNumberFormat="1" applyFont="1" applyBorder="1" applyAlignment="1"/>
    <xf numFmtId="0" fontId="17" fillId="0" borderId="9" xfId="0" applyFont="1" applyBorder="1">
      <alignment vertical="center"/>
    </xf>
    <xf numFmtId="0" fontId="17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85" fontId="34" fillId="4" borderId="18" xfId="0" applyNumberFormat="1" applyFont="1" applyFill="1" applyBorder="1" applyAlignment="1">
      <alignment horizontal="center" vertical="center" shrinkToFit="1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189" fontId="34" fillId="0" borderId="18" xfId="1" applyNumberFormat="1" applyFont="1" applyBorder="1">
      <alignment vertical="center"/>
    </xf>
    <xf numFmtId="189" fontId="34" fillId="0" borderId="1" xfId="1" applyNumberFormat="1" applyFont="1" applyBorder="1">
      <alignment vertical="center"/>
    </xf>
    <xf numFmtId="189" fontId="34" fillId="0" borderId="3" xfId="1" applyNumberFormat="1" applyFont="1" applyBorder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17" fillId="3" borderId="7" xfId="0" applyFont="1" applyFill="1" applyBorder="1" applyAlignment="1"/>
    <xf numFmtId="0" fontId="17" fillId="3" borderId="0" xfId="0" applyFont="1" applyFill="1" applyAlignment="1"/>
    <xf numFmtId="0" fontId="17" fillId="0" borderId="0" xfId="0" applyFont="1" applyAlignment="1"/>
    <xf numFmtId="0" fontId="59" fillId="0" borderId="0" xfId="2" applyFont="1"/>
    <xf numFmtId="0" fontId="29" fillId="0" borderId="0" xfId="0" applyFont="1" applyAlignment="1">
      <alignment horizontal="left" vertical="center"/>
    </xf>
    <xf numFmtId="0" fontId="19" fillId="3" borderId="0" xfId="3" applyFont="1" applyFill="1" applyAlignment="1">
      <alignment horizontal="left"/>
    </xf>
    <xf numFmtId="0" fontId="19" fillId="3" borderId="8" xfId="3" applyFont="1" applyFill="1" applyBorder="1" applyAlignment="1">
      <alignment horizontal="center" shrinkToFit="1"/>
    </xf>
    <xf numFmtId="0" fontId="17" fillId="0" borderId="18" xfId="0" applyFont="1" applyBorder="1" applyAlignment="1">
      <alignment horizontal="center" vertical="center" wrapText="1"/>
    </xf>
    <xf numFmtId="183" fontId="53" fillId="0" borderId="0" xfId="11" applyNumberFormat="1" applyFont="1" applyAlignment="1"/>
    <xf numFmtId="0" fontId="40" fillId="0" borderId="0" xfId="0" applyFont="1">
      <alignment vertical="center"/>
    </xf>
    <xf numFmtId="183" fontId="53" fillId="3" borderId="0" xfId="11" applyNumberFormat="1" applyFont="1" applyFill="1" applyAlignment="1"/>
    <xf numFmtId="0" fontId="5" fillId="0" borderId="0" xfId="0" applyFont="1">
      <alignment vertical="center"/>
    </xf>
    <xf numFmtId="0" fontId="64" fillId="0" borderId="0" xfId="0" applyFont="1">
      <alignment vertical="center"/>
    </xf>
    <xf numFmtId="0" fontId="29" fillId="3" borderId="0" xfId="0" applyFont="1" applyFill="1" applyAlignment="1">
      <alignment horizontal="left" vertical="center"/>
    </xf>
    <xf numFmtId="0" fontId="0" fillId="3" borderId="0" xfId="0" applyFill="1">
      <alignment vertical="center"/>
    </xf>
    <xf numFmtId="0" fontId="60" fillId="3" borderId="20" xfId="0" applyFont="1" applyFill="1" applyBorder="1" applyAlignment="1">
      <alignment horizontal="center" vertical="center" wrapText="1"/>
    </xf>
    <xf numFmtId="0" fontId="60" fillId="3" borderId="21" xfId="0" applyFont="1" applyFill="1" applyBorder="1" applyAlignment="1">
      <alignment horizontal="center" vertical="center" wrapText="1"/>
    </xf>
    <xf numFmtId="0" fontId="61" fillId="3" borderId="21" xfId="0" applyFont="1" applyFill="1" applyBorder="1" applyAlignment="1">
      <alignment horizontal="center" vertical="center" wrapText="1"/>
    </xf>
    <xf numFmtId="0" fontId="60" fillId="3" borderId="22" xfId="0" applyFont="1" applyFill="1" applyBorder="1" applyAlignment="1">
      <alignment horizontal="justify" vertical="center" wrapText="1"/>
    </xf>
    <xf numFmtId="0" fontId="60" fillId="3" borderId="23" xfId="0" applyFont="1" applyFill="1" applyBorder="1" applyAlignment="1">
      <alignment horizontal="center" vertical="center" wrapText="1"/>
    </xf>
    <xf numFmtId="0" fontId="28" fillId="3" borderId="23" xfId="0" applyFont="1" applyFill="1" applyBorder="1" applyAlignment="1">
      <alignment horizontal="center" vertical="center" wrapText="1"/>
    </xf>
    <xf numFmtId="3" fontId="61" fillId="3" borderId="23" xfId="0" applyNumberFormat="1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left" vertical="center"/>
    </xf>
    <xf numFmtId="0" fontId="28" fillId="3" borderId="22" xfId="0" applyFont="1" applyFill="1" applyBorder="1" applyAlignment="1">
      <alignment horizontal="justify" vertical="center" wrapText="1"/>
    </xf>
    <xf numFmtId="0" fontId="60" fillId="3" borderId="23" xfId="0" applyFont="1" applyFill="1" applyBorder="1" applyAlignment="1">
      <alignment horizontal="justify" vertical="center" wrapText="1"/>
    </xf>
    <xf numFmtId="0" fontId="60" fillId="3" borderId="25" xfId="0" applyFont="1" applyFill="1" applyBorder="1" applyAlignment="1">
      <alignment horizontal="justify" vertical="center" wrapText="1"/>
    </xf>
    <xf numFmtId="0" fontId="28" fillId="3" borderId="22" xfId="0" applyFont="1" applyFill="1" applyBorder="1" applyAlignment="1">
      <alignment horizontal="center" vertical="center" wrapText="1"/>
    </xf>
    <xf numFmtId="0" fontId="28" fillId="3" borderId="23" xfId="0" applyFont="1" applyFill="1" applyBorder="1" applyAlignment="1">
      <alignment horizontal="justify" vertical="center" wrapText="1"/>
    </xf>
    <xf numFmtId="183" fontId="28" fillId="3" borderId="23" xfId="0" applyNumberFormat="1" applyFont="1" applyFill="1" applyBorder="1" applyAlignment="1">
      <alignment horizontal="center" vertical="center" wrapText="1"/>
    </xf>
    <xf numFmtId="0" fontId="61" fillId="3" borderId="23" xfId="0" applyFont="1" applyFill="1" applyBorder="1" applyAlignment="1">
      <alignment horizontal="justify" vertical="center" wrapText="1"/>
    </xf>
    <xf numFmtId="0" fontId="60" fillId="3" borderId="23" xfId="0" applyFont="1" applyFill="1" applyBorder="1" applyAlignment="1">
      <alignment horizontal="left" vertical="center" wrapText="1"/>
    </xf>
    <xf numFmtId="0" fontId="61" fillId="3" borderId="23" xfId="0" applyFont="1" applyFill="1" applyBorder="1" applyAlignment="1">
      <alignment horizontal="left" vertical="center" wrapText="1"/>
    </xf>
    <xf numFmtId="0" fontId="30" fillId="3" borderId="22" xfId="0" applyFont="1" applyFill="1" applyBorder="1" applyAlignment="1">
      <alignment horizontal="justify" vertical="center" wrapText="1"/>
    </xf>
    <xf numFmtId="0" fontId="61" fillId="3" borderId="0" xfId="0" applyFont="1" applyFill="1" applyAlignment="1">
      <alignment horizontal="left" vertical="center"/>
    </xf>
    <xf numFmtId="0" fontId="61" fillId="3" borderId="26" xfId="0" applyFont="1" applyFill="1" applyBorder="1" applyAlignment="1">
      <alignment horizontal="center" vertical="center" wrapText="1"/>
    </xf>
    <xf numFmtId="0" fontId="61" fillId="3" borderId="28" xfId="0" applyFont="1" applyFill="1" applyBorder="1" applyAlignment="1">
      <alignment horizontal="center" vertical="center" wrapText="1"/>
    </xf>
    <xf numFmtId="0" fontId="60" fillId="3" borderId="28" xfId="0" applyFont="1" applyFill="1" applyBorder="1" applyAlignment="1">
      <alignment horizontal="center" vertical="center" wrapText="1"/>
    </xf>
    <xf numFmtId="0" fontId="61" fillId="3" borderId="24" xfId="0" applyFont="1" applyFill="1" applyBorder="1" applyAlignment="1">
      <alignment horizontal="center" vertical="center" wrapText="1"/>
    </xf>
    <xf numFmtId="0" fontId="60" fillId="3" borderId="25" xfId="0" applyFont="1" applyFill="1" applyBorder="1" applyAlignment="1">
      <alignment horizontal="center" vertical="center" wrapText="1"/>
    </xf>
    <xf numFmtId="0" fontId="60" fillId="3" borderId="22" xfId="0" applyFont="1" applyFill="1" applyBorder="1" applyAlignment="1">
      <alignment horizontal="center" vertical="center" wrapText="1"/>
    </xf>
    <xf numFmtId="0" fontId="0" fillId="3" borderId="23" xfId="0" applyFill="1" applyBorder="1" applyAlignment="1">
      <alignment vertical="center" wrapText="1"/>
    </xf>
    <xf numFmtId="185" fontId="28" fillId="3" borderId="23" xfId="0" applyNumberFormat="1" applyFont="1" applyFill="1" applyBorder="1" applyAlignment="1">
      <alignment horizontal="center" vertical="center" wrapText="1"/>
    </xf>
    <xf numFmtId="9" fontId="61" fillId="3" borderId="25" xfId="0" applyNumberFormat="1" applyFont="1" applyFill="1" applyBorder="1" applyAlignment="1">
      <alignment horizontal="center" vertical="center"/>
    </xf>
    <xf numFmtId="0" fontId="60" fillId="3" borderId="24" xfId="0" applyFont="1" applyFill="1" applyBorder="1" applyAlignment="1">
      <alignment horizontal="center" vertical="center" wrapText="1"/>
    </xf>
    <xf numFmtId="0" fontId="60" fillId="3" borderId="25" xfId="0" applyFont="1" applyFill="1" applyBorder="1" applyAlignment="1">
      <alignment horizontal="center" vertical="center"/>
    </xf>
    <xf numFmtId="0" fontId="60" fillId="3" borderId="23" xfId="0" applyFont="1" applyFill="1" applyBorder="1" applyAlignment="1">
      <alignment horizontal="center" vertical="center"/>
    </xf>
    <xf numFmtId="0" fontId="61" fillId="3" borderId="23" xfId="0" applyFont="1" applyFill="1" applyBorder="1" applyAlignment="1">
      <alignment horizontal="center" vertical="center" wrapText="1"/>
    </xf>
    <xf numFmtId="0" fontId="61" fillId="3" borderId="29" xfId="0" applyFont="1" applyFill="1" applyBorder="1" applyAlignment="1">
      <alignment horizontal="center" vertical="center"/>
    </xf>
    <xf numFmtId="0" fontId="61" fillId="3" borderId="22" xfId="0" applyFont="1" applyFill="1" applyBorder="1" applyAlignment="1">
      <alignment horizontal="right" vertical="center"/>
    </xf>
    <xf numFmtId="0" fontId="61" fillId="3" borderId="23" xfId="0" applyFont="1" applyFill="1" applyBorder="1" applyAlignment="1">
      <alignment horizontal="right" vertical="center"/>
    </xf>
    <xf numFmtId="0" fontId="61" fillId="3" borderId="23" xfId="0" applyFont="1" applyFill="1" applyBorder="1" applyAlignment="1">
      <alignment horizontal="right" vertical="center" indent="1"/>
    </xf>
    <xf numFmtId="0" fontId="61" fillId="3" borderId="22" xfId="0" applyFont="1" applyFill="1" applyBorder="1" applyAlignment="1">
      <alignment horizontal="center" vertical="center"/>
    </xf>
    <xf numFmtId="0" fontId="17" fillId="3" borderId="0" xfId="0" applyFont="1" applyFill="1">
      <alignment vertical="center"/>
    </xf>
    <xf numFmtId="0" fontId="66" fillId="0" borderId="0" xfId="0" applyFo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1" fillId="0" borderId="1" xfId="0" applyFont="1" applyBorder="1">
      <alignment vertical="center"/>
    </xf>
    <xf numFmtId="0" fontId="41" fillId="0" borderId="2" xfId="0" applyFont="1" applyBorder="1">
      <alignment vertical="center"/>
    </xf>
    <xf numFmtId="0" fontId="41" fillId="0" borderId="3" xfId="0" applyFont="1" applyBorder="1">
      <alignment vertical="center"/>
    </xf>
    <xf numFmtId="0" fontId="41" fillId="0" borderId="9" xfId="0" applyFont="1" applyBorder="1">
      <alignment vertical="center"/>
    </xf>
    <xf numFmtId="189" fontId="34" fillId="0" borderId="1" xfId="1" applyNumberFormat="1" applyFont="1" applyBorder="1" applyAlignment="1">
      <alignment vertical="center"/>
    </xf>
    <xf numFmtId="189" fontId="34" fillId="0" borderId="2" xfId="1" applyNumberFormat="1" applyFont="1" applyBorder="1" applyAlignment="1">
      <alignment vertical="center"/>
    </xf>
    <xf numFmtId="189" fontId="34" fillId="0" borderId="3" xfId="1" applyNumberFormat="1" applyFont="1" applyBorder="1" applyAlignment="1">
      <alignment vertical="center"/>
    </xf>
    <xf numFmtId="189" fontId="56" fillId="0" borderId="9" xfId="0" applyNumberFormat="1" applyFont="1" applyBorder="1">
      <alignment vertical="center"/>
    </xf>
    <xf numFmtId="189" fontId="56" fillId="0" borderId="2" xfId="0" applyNumberFormat="1" applyFont="1" applyBorder="1">
      <alignment vertical="center"/>
    </xf>
    <xf numFmtId="189" fontId="56" fillId="0" borderId="3" xfId="0" applyNumberFormat="1" applyFont="1" applyBorder="1">
      <alignment vertical="center"/>
    </xf>
    <xf numFmtId="186" fontId="34" fillId="0" borderId="1" xfId="1" applyNumberFormat="1" applyFont="1" applyBorder="1" applyAlignment="1">
      <alignment vertical="center"/>
    </xf>
    <xf numFmtId="0" fontId="56" fillId="0" borderId="2" xfId="0" applyFont="1" applyBorder="1">
      <alignment vertical="center"/>
    </xf>
    <xf numFmtId="0" fontId="56" fillId="0" borderId="9" xfId="0" applyFont="1" applyBorder="1">
      <alignment vertical="center"/>
    </xf>
    <xf numFmtId="0" fontId="56" fillId="0" borderId="3" xfId="0" applyFont="1" applyBorder="1">
      <alignment vertical="center"/>
    </xf>
    <xf numFmtId="0" fontId="65" fillId="0" borderId="17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28" fillId="3" borderId="26" xfId="0" applyFont="1" applyFill="1" applyBorder="1" applyAlignment="1">
      <alignment horizontal="justify" vertical="center" wrapText="1"/>
    </xf>
    <xf numFmtId="0" fontId="28" fillId="3" borderId="22" xfId="0" applyFont="1" applyFill="1" applyBorder="1" applyAlignment="1">
      <alignment horizontal="justify" vertical="center" wrapText="1"/>
    </xf>
    <xf numFmtId="0" fontId="28" fillId="3" borderId="26" xfId="0" applyFont="1" applyFill="1" applyBorder="1" applyAlignment="1">
      <alignment horizontal="center" vertical="center" wrapText="1"/>
    </xf>
    <xf numFmtId="0" fontId="28" fillId="3" borderId="22" xfId="0" applyFont="1" applyFill="1" applyBorder="1" applyAlignment="1">
      <alignment horizontal="center" vertical="center" wrapText="1"/>
    </xf>
    <xf numFmtId="0" fontId="28" fillId="3" borderId="24" xfId="0" applyFont="1" applyFill="1" applyBorder="1" applyAlignment="1">
      <alignment horizontal="justify" vertical="center" wrapText="1"/>
    </xf>
    <xf numFmtId="0" fontId="28" fillId="3" borderId="27" xfId="0" applyFont="1" applyFill="1" applyBorder="1" applyAlignment="1">
      <alignment horizontal="left" vertical="center" wrapText="1"/>
    </xf>
    <xf numFmtId="0" fontId="28" fillId="3" borderId="28" xfId="0" applyFont="1" applyFill="1" applyBorder="1" applyAlignment="1">
      <alignment horizontal="left" vertical="center" wrapText="1"/>
    </xf>
    <xf numFmtId="0" fontId="30" fillId="3" borderId="29" xfId="0" applyFont="1" applyFill="1" applyBorder="1" applyAlignment="1">
      <alignment horizontal="left" vertical="center" wrapText="1"/>
    </xf>
    <xf numFmtId="0" fontId="30" fillId="3" borderId="25" xfId="0" applyFont="1" applyFill="1" applyBorder="1" applyAlignment="1">
      <alignment horizontal="left" vertical="center" wrapText="1"/>
    </xf>
    <xf numFmtId="0" fontId="28" fillId="3" borderId="30" xfId="0" applyFont="1" applyFill="1" applyBorder="1" applyAlignment="1">
      <alignment horizontal="justify" vertical="center" wrapText="1"/>
    </xf>
    <xf numFmtId="0" fontId="28" fillId="3" borderId="23" xfId="0" applyFont="1" applyFill="1" applyBorder="1" applyAlignment="1">
      <alignment horizontal="justify" vertical="center" wrapText="1"/>
    </xf>
    <xf numFmtId="0" fontId="30" fillId="3" borderId="31" xfId="0" applyFont="1" applyFill="1" applyBorder="1" applyAlignment="1">
      <alignment horizontal="justify" vertical="center" wrapText="1"/>
    </xf>
    <xf numFmtId="0" fontId="30" fillId="3" borderId="21" xfId="0" applyFont="1" applyFill="1" applyBorder="1" applyAlignment="1">
      <alignment horizontal="justify" vertical="center" wrapText="1"/>
    </xf>
    <xf numFmtId="0" fontId="28" fillId="3" borderId="27" xfId="0" applyFont="1" applyFill="1" applyBorder="1" applyAlignment="1">
      <alignment horizontal="justify" vertical="center" wrapText="1"/>
    </xf>
    <xf numFmtId="0" fontId="28" fillId="3" borderId="28" xfId="0" applyFont="1" applyFill="1" applyBorder="1" applyAlignment="1">
      <alignment horizontal="justify" vertical="center" wrapText="1"/>
    </xf>
    <xf numFmtId="0" fontId="62" fillId="3" borderId="31" xfId="0" applyFont="1" applyFill="1" applyBorder="1" applyAlignment="1">
      <alignment horizontal="center" vertical="center" wrapText="1"/>
    </xf>
    <xf numFmtId="0" fontId="62" fillId="3" borderId="32" xfId="0" applyFont="1" applyFill="1" applyBorder="1" applyAlignment="1">
      <alignment horizontal="center" vertical="center" wrapText="1"/>
    </xf>
    <xf numFmtId="0" fontId="62" fillId="3" borderId="21" xfId="0" applyFont="1" applyFill="1" applyBorder="1" applyAlignment="1">
      <alignment horizontal="center" vertical="center" wrapText="1"/>
    </xf>
    <xf numFmtId="0" fontId="28" fillId="3" borderId="31" xfId="0" applyFont="1" applyFill="1" applyBorder="1" applyAlignment="1">
      <alignment horizontal="justify" vertical="center" wrapText="1"/>
    </xf>
    <xf numFmtId="0" fontId="28" fillId="3" borderId="21" xfId="0" applyFont="1" applyFill="1" applyBorder="1" applyAlignment="1">
      <alignment horizontal="justify" vertical="center" wrapText="1"/>
    </xf>
    <xf numFmtId="0" fontId="30" fillId="3" borderId="27" xfId="0" applyFont="1" applyFill="1" applyBorder="1" applyAlignment="1">
      <alignment horizontal="justify" vertical="center" wrapText="1"/>
    </xf>
    <xf numFmtId="0" fontId="30" fillId="3" borderId="17" xfId="0" applyFont="1" applyFill="1" applyBorder="1" applyAlignment="1">
      <alignment horizontal="justify" vertical="center" wrapText="1"/>
    </xf>
    <xf numFmtId="0" fontId="30" fillId="3" borderId="28" xfId="0" applyFont="1" applyFill="1" applyBorder="1" applyAlignment="1">
      <alignment horizontal="justify" vertical="center" wrapText="1"/>
    </xf>
    <xf numFmtId="0" fontId="30" fillId="3" borderId="29" xfId="0" applyFont="1" applyFill="1" applyBorder="1" applyAlignment="1">
      <alignment horizontal="justify" vertical="center" wrapText="1"/>
    </xf>
    <xf numFmtId="0" fontId="30" fillId="3" borderId="0" xfId="0" applyFont="1" applyFill="1" applyAlignment="1">
      <alignment horizontal="justify" vertical="center" wrapText="1"/>
    </xf>
    <xf numFmtId="0" fontId="30" fillId="3" borderId="25" xfId="0" applyFont="1" applyFill="1" applyBorder="1" applyAlignment="1">
      <alignment horizontal="justify" vertical="center" wrapText="1"/>
    </xf>
    <xf numFmtId="0" fontId="30" fillId="3" borderId="30" xfId="0" applyFont="1" applyFill="1" applyBorder="1" applyAlignment="1">
      <alignment horizontal="justify" vertical="center" wrapText="1"/>
    </xf>
    <xf numFmtId="0" fontId="30" fillId="3" borderId="15" xfId="0" applyFont="1" applyFill="1" applyBorder="1" applyAlignment="1">
      <alignment horizontal="justify" vertical="center" wrapText="1"/>
    </xf>
    <xf numFmtId="0" fontId="30" fillId="3" borderId="23" xfId="0" applyFont="1" applyFill="1" applyBorder="1" applyAlignment="1">
      <alignment horizontal="justify" vertical="center" wrapText="1"/>
    </xf>
    <xf numFmtId="0" fontId="60" fillId="3" borderId="31" xfId="0" applyFont="1" applyFill="1" applyBorder="1" applyAlignment="1">
      <alignment horizontal="center" vertical="center"/>
    </xf>
    <xf numFmtId="0" fontId="60" fillId="3" borderId="32" xfId="0" applyFont="1" applyFill="1" applyBorder="1" applyAlignment="1">
      <alignment horizontal="center" vertical="center"/>
    </xf>
    <xf numFmtId="0" fontId="60" fillId="3" borderId="21" xfId="0" applyFont="1" applyFill="1" applyBorder="1" applyAlignment="1">
      <alignment horizontal="center" vertical="center"/>
    </xf>
    <xf numFmtId="0" fontId="60" fillId="3" borderId="26" xfId="0" applyFont="1" applyFill="1" applyBorder="1" applyAlignment="1">
      <alignment horizontal="center" vertical="center"/>
    </xf>
    <xf numFmtId="0" fontId="60" fillId="3" borderId="24" xfId="0" applyFont="1" applyFill="1" applyBorder="1" applyAlignment="1">
      <alignment horizontal="center" vertical="center"/>
    </xf>
    <xf numFmtId="0" fontId="60" fillId="3" borderId="22" xfId="0" applyFont="1" applyFill="1" applyBorder="1" applyAlignment="1">
      <alignment horizontal="center" vertical="center"/>
    </xf>
    <xf numFmtId="0" fontId="61" fillId="3" borderId="27" xfId="0" applyFont="1" applyFill="1" applyBorder="1" applyAlignment="1">
      <alignment horizontal="center" vertical="center"/>
    </xf>
    <xf numFmtId="0" fontId="61" fillId="3" borderId="17" xfId="0" applyFont="1" applyFill="1" applyBorder="1" applyAlignment="1">
      <alignment horizontal="center" vertical="center"/>
    </xf>
    <xf numFmtId="0" fontId="61" fillId="3" borderId="33" xfId="0" applyFont="1" applyFill="1" applyBorder="1" applyAlignment="1">
      <alignment horizontal="center" vertical="center"/>
    </xf>
    <xf numFmtId="0" fontId="13" fillId="0" borderId="6" xfId="3" applyFont="1" applyFill="1" applyBorder="1" applyAlignment="1">
      <alignment horizontal="center" vertical="center" wrapText="1"/>
    </xf>
    <xf numFmtId="0" fontId="13" fillId="0" borderId="0" xfId="3" applyFont="1" applyFill="1" applyAlignment="1">
      <alignment horizontal="center" vertical="center" wrapText="1"/>
    </xf>
    <xf numFmtId="0" fontId="13" fillId="0" borderId="7" xfId="3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/>
    </xf>
  </cellXfs>
  <cellStyles count="12">
    <cellStyle name="パーセント" xfId="11" builtinId="5"/>
    <cellStyle name="パーセント 2" xfId="5" xr:uid="{00000000-0005-0000-0000-000000000000}"/>
    <cellStyle name="パーセント 2 2" xfId="10" xr:uid="{00000000-0005-0000-0000-000001000000}"/>
    <cellStyle name="桁区切り" xfId="1" builtinId="6"/>
    <cellStyle name="桁区切り 2" xfId="4" xr:uid="{00000000-0005-0000-0000-000003000000}"/>
    <cellStyle name="桁区切り 2 2" xfId="9" xr:uid="{00000000-0005-0000-0000-000004000000}"/>
    <cellStyle name="標準" xfId="0" builtinId="0"/>
    <cellStyle name="標準 2" xfId="8" xr:uid="{00000000-0005-0000-0000-000006000000}"/>
    <cellStyle name="標準_SarP-CAA-2009.xls" xfId="7" xr:uid="{00000000-0005-0000-0000-000007000000}"/>
    <cellStyle name="標準_TCPO2kwk3" xfId="6" xr:uid="{00000000-0005-0000-0000-000008000000}"/>
    <cellStyle name="標準_再生産・予測_1" xfId="2" xr:uid="{00000000-0005-0000-0000-000009000000}"/>
    <cellStyle name="標準_資源解析" xfId="3" xr:uid="{00000000-0005-0000-0000-00000A000000}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externalLink" Target="externalLinks/externalLink1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ra2015-my.sharepoint.com/Z/&#26085;&#26412;&#28023;/0730/TC-JS-2003-T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ra2015-my.sharepoint.com/Z/Work/VPA/Wada/SAR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ra2015-my.sharepoint.com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SIGENHYO/HOKKE/1996/DOUHOKU/ABC/pa-AB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ra2015-my.sharepoint.com/A/98&#24180;&#35413;&#20385;/&#25105;&#12364;&#22269;/98&#24180;/&#35413;&#20385;&#34920;/&#28417;&#28023;&#27841;/98/no-1/&#28417;&#28023;&#27841;/97/&#28417;&#28023;&#27841;/97/no-1/&#28417;&#28023;&#27841;/96/NO-2/TAI96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ra2015-my.sharepoint.com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02Gyoumu/01&#12473;&#12465;&#12488;&#12454;&#12480;&#12521;/2002/&#22826;&#24179;&#27915;/TCPO2002AB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ra2015-my.sharepoint.com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Users/HONDA_Satoshi/Ponch%20in%20Pismo/&#36039;&#28304;&#35413;&#20385;&#38306;&#20418;/2005&#24180;/&#27700;&#30740;&#35413;&#20385;&#31080;/&#12473;&#12465;&#12477;&#26085;&#26412;&#28023;/TC-JS-2005-5yrav-1%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ra2015-my.sharepoint.com/data/&#28204;&#23450;&#32080;&#26524;/&#65403;&#65437;&#65420;&#65439;&#65432;&#65437;&#65400;&#65438;/99&#24180;&#23721;&#2086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ANRI2\DB-Sdotai\Work\TAC\RPS-ex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10Job\010&#25105;&#12364;&#22269;&#35519;&#26619;\010&#36039;&#28304;&#35413;&#20385;&#35519;&#26619;\010&#36039;&#28304;&#35413;&#20385;\010&#12473;&#12465;&#12488;&#12454;&#12480;&#12521;\2004\&#22826;&#24179;&#27915;\TC-PS-2004-Fsi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ra2015-my.sharepoint.com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02Gyoumu/01&#12473;&#12465;&#12488;&#12454;&#12480;&#12521;/2002/&#22826;&#24179;&#27915;/2000/TC-PO-2kP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ra2015-my.sharepoint.com/TC-JS-2008-5yrav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ra2015-my.sharepoint.com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&#12473;&#12465;&#12488;&#12454;&#12480;&#12521;/2000/&#22826;&#24179;&#27915;/CatAtAge/CatatAg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ra2015-my.sharepoint.com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SIGENHYO/Wada/pa-sp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ra2015-my.sharepoint.com/Users/hondas/Documents/Ponch%20in%20Air/&#36039;&#28304;&#35413;&#20385;&#65288;&#20013;&#22830;&#27700;&#30740;&#20998;&#65289;/2010&#24180;/&#12510;&#12452;&#12527;&#12471;&#35413;&#20385;/&#28417;&#29554;&#37327;&#25913;&#35330;&#24460;&#12496;&#12540;&#12472;&#12519;&#12531;0708/2005&#24180;&#35413;&#20385;&#26989;&#21209;&#38306;&#36899;/2005&#12473;&#12465;&#12488;&#12454;&#12480;&#12521;&#22826;&#24179;&#27915;&#31995;&#32676;/Work/VPA/Wada/SAR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ra2015-my.sharepoint.com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&#12473;&#12465;&#12488;&#12454;&#12480;&#12521;/1999/&#35413;&#20385;&#31080;/Taihieyou/&#12467;&#12507;&#12540;&#12488;&#22826;&#24179;&#27915;1999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microsoft.com/office/2019/04/relationships/externalLinkLongPath" Target="https://fra2015-my.sharepoint.com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Users/HONDA_Satoshi/Ponch%20in%20Pismo/&#36039;&#28304;&#35413;&#20385;&#38306;&#20418;/2006&#24180;/&#12473;&#12465;&#12477;&#35413;&#20385;/&#26085;&#26412;&#28023;&#12473;&#12465;&#12477;2&#12501;&#12449;&#12452;&#12523;%20&#12501;&#12457;&#12523;&#12480;&#26412;&#38291;060612/2005&#26085;&#26412;&#28023;&#12473;&#12465;&#12477;&#28417;&#29554;&#65286;&#36039;&#28304;&#23614;&#25968;.xls?A8C15612" TargetMode="External"/><Relationship Id="rId1" Type="http://schemas.openxmlformats.org/officeDocument/2006/relationships/externalLinkPath" Target="file:///\\A8C15612\2005&#26085;&#26412;&#28023;&#12473;&#12465;&#12477;&#28417;&#29554;&#65286;&#36039;&#28304;&#23614;&#259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3沖底CPUE"/>
      <sheetName val="表2沖底努力量"/>
      <sheetName val="図3､4､5"/>
      <sheetName val="長期漁獲量図"/>
      <sheetName val="表１漁獲量"/>
      <sheetName val="長期漁獲量元"/>
      <sheetName val="2003年度水試資料　沿岸沖底漁獲量"/>
      <sheetName val="知事管理TACスケトウダラ2001-2002年度"/>
      <sheetName val="年度科学計算"/>
      <sheetName val="2000年度海域・漁法別年齢別漁獲尾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2">
          <cell r="B62">
            <v>45695.830624708266</v>
          </cell>
          <cell r="C62">
            <v>78221.349849409962</v>
          </cell>
          <cell r="D62">
            <v>99582.014199395504</v>
          </cell>
          <cell r="E62">
            <v>64837.461280724703</v>
          </cell>
          <cell r="F62">
            <v>323176.64444252412</v>
          </cell>
          <cell r="G62">
            <v>238282.8965724119</v>
          </cell>
          <cell r="H62">
            <v>197519.52807685887</v>
          </cell>
          <cell r="I62">
            <v>226747.13612850878</v>
          </cell>
          <cell r="J62">
            <v>271479.285924825</v>
          </cell>
          <cell r="K62">
            <v>355048.48011325375</v>
          </cell>
          <cell r="L62">
            <v>529630.44298597239</v>
          </cell>
          <cell r="M62">
            <v>464672.04910281592</v>
          </cell>
          <cell r="N62">
            <v>36630.050441881773</v>
          </cell>
          <cell r="O62">
            <v>20717.689636598236</v>
          </cell>
          <cell r="P62">
            <v>5649.1202437734028</v>
          </cell>
          <cell r="Q62">
            <v>3677.6894138987273</v>
          </cell>
          <cell r="R62">
            <v>27902.834475425258</v>
          </cell>
          <cell r="S62">
            <v>8660.7158545512139</v>
          </cell>
          <cell r="T62">
            <v>6666.5729391200402</v>
          </cell>
          <cell r="U62">
            <v>2658.9286721446474</v>
          </cell>
        </row>
        <row r="63">
          <cell r="B63">
            <v>26116.049957876876</v>
          </cell>
          <cell r="C63">
            <v>28895.940822218981</v>
          </cell>
          <cell r="D63">
            <v>49642.285694783488</v>
          </cell>
          <cell r="E63">
            <v>64635.401345753904</v>
          </cell>
          <cell r="F63">
            <v>41302.857034662724</v>
          </cell>
          <cell r="G63">
            <v>206709.58518380413</v>
          </cell>
          <cell r="H63">
            <v>154928.03998688766</v>
          </cell>
          <cell r="I63">
            <v>129260.64798461064</v>
          </cell>
          <cell r="J63">
            <v>148435.76560598754</v>
          </cell>
          <cell r="K63">
            <v>171783.17210152416</v>
          </cell>
          <cell r="L63">
            <v>221549.4501665695</v>
          </cell>
          <cell r="M63">
            <v>351936.92544663523</v>
          </cell>
          <cell r="N63">
            <v>297804.54830816598</v>
          </cell>
          <cell r="O63">
            <v>22789.492325606931</v>
          </cell>
          <cell r="P63">
            <v>9403.2943363485101</v>
          </cell>
          <cell r="Q63">
            <v>2735.4682549149206</v>
          </cell>
          <cell r="R63">
            <v>2229.4344803429194</v>
          </cell>
          <cell r="S63">
            <v>15958.625075021408</v>
          </cell>
          <cell r="T63">
            <v>3721.7816837408973</v>
          </cell>
          <cell r="U63">
            <v>2571.7383245692085</v>
          </cell>
        </row>
        <row r="64">
          <cell r="B64">
            <v>5980.75766768424</v>
          </cell>
          <cell r="C64">
            <v>12495.479601195835</v>
          </cell>
          <cell r="D64">
            <v>15695.883493132031</v>
          </cell>
          <cell r="E64">
            <v>27638.43926654664</v>
          </cell>
          <cell r="F64">
            <v>40113.705730539776</v>
          </cell>
          <cell r="G64">
            <v>26602.133511803298</v>
          </cell>
          <cell r="H64">
            <v>110460.28301851993</v>
          </cell>
          <cell r="I64">
            <v>95049.196569880529</v>
          </cell>
          <cell r="J64">
            <v>82163.452634538815</v>
          </cell>
          <cell r="K64">
            <v>85824.209465679407</v>
          </cell>
          <cell r="L64">
            <v>102271.06908532517</v>
          </cell>
          <cell r="M64">
            <v>126709.5126033711</v>
          </cell>
          <cell r="N64">
            <v>227902.37057117413</v>
          </cell>
          <cell r="O64">
            <v>185476.69111836507</v>
          </cell>
          <cell r="P64">
            <v>14226.640719383713</v>
          </cell>
          <cell r="Q64">
            <v>3534.2692855180644</v>
          </cell>
          <cell r="R64">
            <v>1195.8479499158516</v>
          </cell>
          <cell r="S64">
            <v>707.63436978896675</v>
          </cell>
          <cell r="T64">
            <v>1931.2361217479061</v>
          </cell>
          <cell r="U64">
            <v>1102.1238585941501</v>
          </cell>
        </row>
        <row r="65">
          <cell r="B65">
            <v>413.11030524163056</v>
          </cell>
          <cell r="C65">
            <v>2368.2853259618269</v>
          </cell>
          <cell r="D65">
            <v>4577.0597672291478</v>
          </cell>
          <cell r="E65">
            <v>7460.0310599277191</v>
          </cell>
          <cell r="F65">
            <v>14927.459490973957</v>
          </cell>
          <cell r="G65">
            <v>24294.463315451383</v>
          </cell>
          <cell r="H65">
            <v>16330.391159133191</v>
          </cell>
          <cell r="I65">
            <v>53898.053087847198</v>
          </cell>
          <cell r="J65">
            <v>48376.098622963007</v>
          </cell>
          <cell r="K65">
            <v>46231.061026929681</v>
          </cell>
          <cell r="L65">
            <v>48419.670950507862</v>
          </cell>
          <cell r="M65">
            <v>58767.240315095027</v>
          </cell>
          <cell r="N65">
            <v>70451.760568742553</v>
          </cell>
          <cell r="O65">
            <v>139749.70855896088</v>
          </cell>
          <cell r="P65">
            <v>118772.83723861333</v>
          </cell>
          <cell r="Q65">
            <v>7415.8898114778176</v>
          </cell>
          <cell r="R65">
            <v>1586.3849502282642</v>
          </cell>
          <cell r="S65">
            <v>564.16893444660366</v>
          </cell>
          <cell r="T65">
            <v>281.93977636001512</v>
          </cell>
          <cell r="U65">
            <v>154.87307775119501</v>
          </cell>
        </row>
        <row r="66">
          <cell r="B66">
            <v>96.21262421434264</v>
          </cell>
          <cell r="C66">
            <v>97.614083903288758</v>
          </cell>
          <cell r="D66">
            <v>397.89334450195315</v>
          </cell>
          <cell r="E66">
            <v>1431.4521384740287</v>
          </cell>
          <cell r="F66">
            <v>2900.5639818730242</v>
          </cell>
          <cell r="G66">
            <v>6394.753981357826</v>
          </cell>
          <cell r="H66">
            <v>13491.556438522448</v>
          </cell>
          <cell r="I66">
            <v>9184.6799729463401</v>
          </cell>
          <cell r="J66">
            <v>16322.211048614528</v>
          </cell>
          <cell r="K66">
            <v>17999.795325228992</v>
          </cell>
          <cell r="L66">
            <v>20612.194660584533</v>
          </cell>
          <cell r="M66">
            <v>22095.638380373079</v>
          </cell>
          <cell r="N66">
            <v>26481.475257362203</v>
          </cell>
          <cell r="O66">
            <v>38232.288795922796</v>
          </cell>
          <cell r="P66">
            <v>83236.576511459396</v>
          </cell>
          <cell r="Q66">
            <v>73368.898079585779</v>
          </cell>
          <cell r="R66">
            <v>4177.6695000924747</v>
          </cell>
          <cell r="S66">
            <v>796.47940736383327</v>
          </cell>
          <cell r="T66">
            <v>166.94121181600559</v>
          </cell>
          <cell r="U66">
            <v>31.793579277950659</v>
          </cell>
        </row>
        <row r="67">
          <cell r="B67">
            <v>1.1054207473826188</v>
          </cell>
          <cell r="C67">
            <v>1.4509827055632132</v>
          </cell>
          <cell r="D67">
            <v>26.952331821114129</v>
          </cell>
          <cell r="E67">
            <v>26.009043598897051</v>
          </cell>
          <cell r="F67">
            <v>390.51318997052795</v>
          </cell>
          <cell r="G67">
            <v>650.71159199523152</v>
          </cell>
          <cell r="H67">
            <v>2875.8586956170029</v>
          </cell>
          <cell r="I67">
            <v>5976.6953319326731</v>
          </cell>
          <cell r="J67">
            <v>5293.7328885438119</v>
          </cell>
          <cell r="K67">
            <v>3898.3833235339112</v>
          </cell>
          <cell r="L67">
            <v>5735.1974482406258</v>
          </cell>
          <cell r="M67">
            <v>6123.9731178578659</v>
          </cell>
          <cell r="N67">
            <v>7535.089133714494</v>
          </cell>
          <cell r="O67">
            <v>10673.9550840006</v>
          </cell>
          <cell r="P67">
            <v>18143.033041091912</v>
          </cell>
          <cell r="Q67">
            <v>46068.624452444055</v>
          </cell>
          <cell r="R67">
            <v>43603.449248324847</v>
          </cell>
          <cell r="S67">
            <v>2558.8500394656689</v>
          </cell>
          <cell r="T67">
            <v>420.91126908580191</v>
          </cell>
          <cell r="U67">
            <v>49.680503555823648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  <row r="73">
          <cell r="B73">
            <v>0.33718311924544803</v>
          </cell>
          <cell r="C73">
            <v>0.21030264919023331</v>
          </cell>
          <cell r="D73">
            <v>0.18563547387193621</v>
          </cell>
          <cell r="E73">
            <v>7.7044204427408905E-2</v>
          </cell>
          <cell r="F73">
            <v>3.9940255387189344E-2</v>
          </cell>
          <cell r="G73">
            <v>0.22665881140394151</v>
          </cell>
          <cell r="H73">
            <v>8.8566134780597633E-2</v>
          </cell>
          <cell r="I73">
            <v>5.3120304814999394E-2</v>
          </cell>
          <cell r="J73">
            <v>0.14785118152361512</v>
          </cell>
          <cell r="K73">
            <v>0.11860622591691684</v>
          </cell>
          <cell r="L73">
            <v>0.15874865163344268</v>
          </cell>
          <cell r="M73">
            <v>3.4534632468031387E-2</v>
          </cell>
          <cell r="N73">
            <v>7.3508173358828463E-2</v>
          </cell>
          <cell r="O73">
            <v>7.1183252903067262E-2</v>
          </cell>
          <cell r="P73">
            <v>0.57855351969246716</v>
          </cell>
          <cell r="Q73">
            <v>0.42744711432878341</v>
          </cell>
          <cell r="R73">
            <v>0.74757570258671147</v>
          </cell>
          <cell r="S73">
            <v>1.7118391646409326</v>
          </cell>
          <cell r="T73">
            <v>0.81696340208510421</v>
          </cell>
          <cell r="U73">
            <v>1.2528089724967524</v>
          </cell>
        </row>
        <row r="74">
          <cell r="B74">
            <v>0.52638105807271984</v>
          </cell>
          <cell r="C74">
            <v>0.60431012724635313</v>
          </cell>
          <cell r="D74">
            <v>0.34383890234851955</v>
          </cell>
          <cell r="E74">
            <v>0.21600509510983729</v>
          </cell>
          <cell r="F74">
            <v>0.10146958742291337</v>
          </cell>
          <cell r="G74">
            <v>8.7963559679572839E-2</v>
          </cell>
          <cell r="H74">
            <v>0.31756167020740189</v>
          </cell>
          <cell r="I74">
            <v>0.27538875454408435</v>
          </cell>
          <cell r="J74">
            <v>0.17505869925557016</v>
          </cell>
          <cell r="K74">
            <v>0.17239497254672223</v>
          </cell>
          <cell r="L74">
            <v>0.15404226617334846</v>
          </cell>
          <cell r="M74">
            <v>0.18696893588886998</v>
          </cell>
          <cell r="N74">
            <v>8.9064311414411179E-2</v>
          </cell>
          <cell r="O74">
            <v>4.5716481790698635E-2</v>
          </cell>
          <cell r="P74">
            <v>0.25149134397719525</v>
          </cell>
          <cell r="Q74">
            <v>0.40104875806615531</v>
          </cell>
          <cell r="R74">
            <v>0.35125705844241467</v>
          </cell>
          <cell r="S74">
            <v>0.52023404432360065</v>
          </cell>
          <cell r="T74">
            <v>2.1233096262125617</v>
          </cell>
          <cell r="U74">
            <v>1.6046057845212187</v>
          </cell>
        </row>
        <row r="75">
          <cell r="B75">
            <v>1.0426928549139911</v>
          </cell>
          <cell r="C75">
            <v>1.3837374903943629</v>
          </cell>
          <cell r="D75">
            <v>0.76236740928329516</v>
          </cell>
          <cell r="E75">
            <v>0.54465438314392378</v>
          </cell>
          <cell r="F75">
            <v>0.4477244718943823</v>
          </cell>
          <cell r="G75">
            <v>0.18818443651341474</v>
          </cell>
          <cell r="H75">
            <v>0.17549098439972691</v>
          </cell>
          <cell r="I75">
            <v>0.7945675351641599</v>
          </cell>
          <cell r="J75">
            <v>0.58864547463336703</v>
          </cell>
          <cell r="K75">
            <v>0.40776901432140583</v>
          </cell>
          <cell r="L75">
            <v>0.38452592505992522</v>
          </cell>
          <cell r="M75">
            <v>0.39713912049445266</v>
          </cell>
          <cell r="N75">
            <v>0.21124781334010281</v>
          </cell>
          <cell r="O75">
            <v>0.11816615383342244</v>
          </cell>
          <cell r="P75">
            <v>8.1712624078191895E-2</v>
          </cell>
          <cell r="Q75">
            <v>0.17387141474549656</v>
          </cell>
          <cell r="R75">
            <v>0.28901181530608433</v>
          </cell>
          <cell r="S75">
            <v>0.81771201042126818</v>
          </cell>
          <cell r="T75">
            <v>1.7824291292228462</v>
          </cell>
          <cell r="U75">
            <v>1.3221643100136904</v>
          </cell>
        </row>
        <row r="76">
          <cell r="B76">
            <v>3.7943195230480113</v>
          </cell>
          <cell r="C76">
            <v>0.88695196770969442</v>
          </cell>
          <cell r="D76">
            <v>2.3277396824642298</v>
          </cell>
          <cell r="E76">
            <v>0.89898294360928455</v>
          </cell>
          <cell r="F76">
            <v>1.094593952578335</v>
          </cell>
          <cell r="G76">
            <v>0.39912665743226028</v>
          </cell>
          <cell r="H76">
            <v>0.41419624563758917</v>
          </cell>
          <cell r="I76">
            <v>0.15101322867799225</v>
          </cell>
          <cell r="J76">
            <v>1.0319648865131774</v>
          </cell>
          <cell r="K76">
            <v>0.74373820838392712</v>
          </cell>
          <cell r="L76">
            <v>0.81367178631497583</v>
          </cell>
          <cell r="M76">
            <v>0.67580956939142811</v>
          </cell>
          <cell r="N76">
            <v>0.50863877173203553</v>
          </cell>
          <cell r="O76">
            <v>0.34539378248767444</v>
          </cell>
          <cell r="P76">
            <v>0.19155475202381786</v>
          </cell>
          <cell r="Q76">
            <v>0.12036385550901979</v>
          </cell>
          <cell r="R76">
            <v>9.0195600957001326E-2</v>
          </cell>
          <cell r="S76">
            <v>0.23777922590744793</v>
          </cell>
          <cell r="T76">
            <v>0.81202915182688895</v>
          </cell>
          <cell r="U76">
            <v>0.95364576211077268</v>
          </cell>
        </row>
        <row r="97">
          <cell r="B97">
            <v>557.25923133179435</v>
          </cell>
          <cell r="C97">
            <v>1310.0002373441644</v>
          </cell>
          <cell r="D97">
            <v>1849.5546114337685</v>
          </cell>
          <cell r="E97">
            <v>3194.3613879776781</v>
          </cell>
          <cell r="F97">
            <v>7445.5430315035746</v>
          </cell>
          <cell r="G97">
            <v>5445.4296820829422</v>
          </cell>
          <cell r="H97">
            <v>3293.8666866555332</v>
          </cell>
          <cell r="I97">
            <v>3771.9483516616733</v>
          </cell>
          <cell r="J97">
            <v>4330.1909007160921</v>
          </cell>
          <cell r="K97">
            <v>3825.4755085320276</v>
          </cell>
          <cell r="L97">
            <v>5967.1604780371144</v>
          </cell>
          <cell r="M97">
            <v>4719.0829254946939</v>
          </cell>
          <cell r="N97">
            <v>8457.0346633799963</v>
          </cell>
          <cell r="O97">
            <v>15381.749340526963</v>
          </cell>
          <cell r="P97">
            <v>19050.079081799191</v>
          </cell>
          <cell r="Q97">
            <v>13695.72891851918</v>
          </cell>
          <cell r="R97">
            <v>5912.0860084558408</v>
          </cell>
          <cell r="S97">
            <v>577.6140204488072</v>
          </cell>
          <cell r="T97">
            <v>297.8157361692115</v>
          </cell>
          <cell r="U97">
            <v>123.18179691128913</v>
          </cell>
        </row>
        <row r="99">
          <cell r="B99">
            <v>45695.830624708266</v>
          </cell>
          <cell r="C99">
            <v>78221.349849409962</v>
          </cell>
          <cell r="D99">
            <v>99582.014199395504</v>
          </cell>
          <cell r="E99">
            <v>64837.461280724703</v>
          </cell>
          <cell r="F99">
            <v>323176.64444252412</v>
          </cell>
          <cell r="G99">
            <v>238282.8965724119</v>
          </cell>
          <cell r="H99">
            <v>197519.52807685887</v>
          </cell>
          <cell r="I99">
            <v>226747.13612850878</v>
          </cell>
          <cell r="J99">
            <v>271479.285924825</v>
          </cell>
          <cell r="K99">
            <v>355048.48011325375</v>
          </cell>
          <cell r="L99">
            <v>529630.44298597239</v>
          </cell>
          <cell r="M99">
            <v>464672.04910281592</v>
          </cell>
          <cell r="N99">
            <v>36630.050441881773</v>
          </cell>
          <cell r="O99">
            <v>20717.689636598236</v>
          </cell>
          <cell r="P99">
            <v>5649.1202437734028</v>
          </cell>
          <cell r="Q99">
            <v>3677.6894138987273</v>
          </cell>
          <cell r="R99">
            <v>27902.834475425258</v>
          </cell>
          <cell r="S99">
            <v>8660.7158545512139</v>
          </cell>
          <cell r="T99">
            <v>6666.5729391200402</v>
          </cell>
          <cell r="U99">
            <v>2658.9286721446474</v>
          </cell>
        </row>
        <row r="106">
          <cell r="B106">
            <v>557.25923133179435</v>
          </cell>
          <cell r="C106">
            <v>4.406731801125165</v>
          </cell>
        </row>
        <row r="107">
          <cell r="B107">
            <v>1310.0002373441644</v>
          </cell>
          <cell r="C107">
            <v>4.0895153078744997</v>
          </cell>
        </row>
        <row r="108">
          <cell r="B108">
            <v>1849.5546114337685</v>
          </cell>
          <cell r="C108">
            <v>3.9860367084277879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B109">
            <v>3194.3613879776781</v>
          </cell>
          <cell r="C109">
            <v>3.0104963532193683</v>
          </cell>
          <cell r="M109">
            <v>1000</v>
          </cell>
          <cell r="N109">
            <v>70732.31970730731</v>
          </cell>
          <cell r="O109">
            <v>91152.094667295285</v>
          </cell>
          <cell r="P109">
            <v>21608.542159125067</v>
          </cell>
        </row>
        <row r="110">
          <cell r="B110">
            <v>7445.5430315035746</v>
          </cell>
          <cell r="C110">
            <v>3.7705834579903579</v>
          </cell>
          <cell r="M110">
            <v>2000</v>
          </cell>
          <cell r="N110">
            <v>83269.442430150433</v>
          </cell>
          <cell r="O110">
            <v>167456.30036866909</v>
          </cell>
          <cell r="P110">
            <v>33672.105455217432</v>
          </cell>
        </row>
        <row r="111">
          <cell r="B111">
            <v>5445.4296820829422</v>
          </cell>
          <cell r="C111">
            <v>3.778681942439551</v>
          </cell>
          <cell r="M111">
            <v>3000</v>
          </cell>
          <cell r="N111">
            <v>73521.553562647474</v>
          </cell>
          <cell r="O111">
            <v>230726.56176070624</v>
          </cell>
          <cell r="P111">
            <v>39352.86369984776</v>
          </cell>
        </row>
        <row r="112">
          <cell r="B112">
            <v>3293.8666866555332</v>
          </cell>
          <cell r="C112">
            <v>4.0937752964231473</v>
          </cell>
          <cell r="M112">
            <v>4000</v>
          </cell>
          <cell r="N112">
            <v>57702.040567344076</v>
          </cell>
          <cell r="O112">
            <v>282579.83955464448</v>
          </cell>
          <cell r="P112">
            <v>40881.788529372505</v>
          </cell>
        </row>
        <row r="113">
          <cell r="B113">
            <v>3771.9483516616733</v>
          </cell>
          <cell r="C113">
            <v>4.0962437867147967</v>
          </cell>
          <cell r="M113">
            <v>5000</v>
          </cell>
          <cell r="N113">
            <v>42455.987278933724</v>
          </cell>
          <cell r="O113">
            <v>324456.16488100076</v>
          </cell>
          <cell r="P113">
            <v>39815.732489663111</v>
          </cell>
        </row>
        <row r="114">
          <cell r="B114">
            <v>4330.1909007160921</v>
          </cell>
          <cell r="C114">
            <v>4.1382742125594465</v>
          </cell>
          <cell r="M114">
            <v>6000</v>
          </cell>
          <cell r="N114">
            <v>29988.721448702679</v>
          </cell>
          <cell r="O114">
            <v>357636.73364452017</v>
          </cell>
          <cell r="P114">
            <v>37226.376493960044</v>
          </cell>
        </row>
        <row r="115">
          <cell r="B115">
            <v>3825.4755085320276</v>
          </cell>
          <cell r="C115">
            <v>4.5305715683427525</v>
          </cell>
          <cell r="M115">
            <v>7000</v>
          </cell>
          <cell r="N115">
            <v>20594.084938727225</v>
          </cell>
          <cell r="O115">
            <v>383260.22710949491</v>
          </cell>
          <cell r="P115">
            <v>33838.598259455757</v>
          </cell>
        </row>
        <row r="116">
          <cell r="B116">
            <v>5967.1604780371144</v>
          </cell>
          <cell r="C116">
            <v>4.4859083035140319</v>
          </cell>
          <cell r="M116">
            <v>8000</v>
          </cell>
          <cell r="N116">
            <v>13853.905034830024</v>
          </cell>
          <cell r="O116">
            <v>402337.52762012737</v>
          </cell>
          <cell r="P116">
            <v>30131.386815414495</v>
          </cell>
        </row>
        <row r="117">
          <cell r="B117">
            <v>4719.0829254946939</v>
          </cell>
          <cell r="C117">
            <v>4.5897174007466948</v>
          </cell>
          <cell r="M117">
            <v>9000</v>
          </cell>
          <cell r="N117">
            <v>9174.0792721576217</v>
          </cell>
          <cell r="O117">
            <v>415764.98261362314</v>
          </cell>
          <cell r="P117">
            <v>26411.097755931958</v>
          </cell>
        </row>
        <row r="118">
          <cell r="B118">
            <v>8457.0346633799963</v>
          </cell>
          <cell r="C118">
            <v>1.4658703542831304</v>
          </cell>
          <cell r="M118">
            <v>10000</v>
          </cell>
          <cell r="N118">
            <v>6000.0896412755174</v>
          </cell>
          <cell r="O118">
            <v>424336.35578134569</v>
          </cell>
          <cell r="P118">
            <v>22864.344374061653</v>
          </cell>
        </row>
        <row r="119">
          <cell r="B119">
            <v>15381.749340526963</v>
          </cell>
          <cell r="C119">
            <v>0.29780620828298343</v>
          </cell>
          <cell r="M119">
            <v>11000</v>
          </cell>
          <cell r="N119">
            <v>3884.974599519247</v>
          </cell>
          <cell r="O119">
            <v>428753.59124478104</v>
          </cell>
          <cell r="P119">
            <v>19595.946597974544</v>
          </cell>
        </row>
        <row r="120">
          <cell r="B120">
            <v>19050.079081799191</v>
          </cell>
          <cell r="C120">
            <v>-1.2155714288718615</v>
          </cell>
          <cell r="M120">
            <v>12000</v>
          </cell>
          <cell r="N120">
            <v>2494.6780411962131</v>
          </cell>
          <cell r="O120">
            <v>429636.50481912855</v>
          </cell>
          <cell r="P120">
            <v>16655.958020913735</v>
          </cell>
        </row>
        <row r="121">
          <cell r="B121">
            <v>13695.72891851918</v>
          </cell>
          <cell r="C121">
            <v>-1.3147993481294113</v>
          </cell>
          <cell r="M121">
            <v>13000</v>
          </cell>
          <cell r="N121">
            <v>1590.7955603520861</v>
          </cell>
          <cell r="O121">
            <v>427531.5057296016</v>
          </cell>
          <cell r="P121">
            <v>14058.744339202554</v>
          </cell>
        </row>
        <row r="122">
          <cell r="B122">
            <v>5912.0860084558408</v>
          </cell>
          <cell r="C122">
            <v>1.5517295461131813</v>
          </cell>
          <cell r="M122">
            <v>14000</v>
          </cell>
          <cell r="N122">
            <v>1008.4092328689565</v>
          </cell>
          <cell r="O122">
            <v>422919.44242529984</v>
          </cell>
          <cell r="P122">
            <v>11796.305899985309</v>
          </cell>
        </row>
        <row r="123">
          <cell r="B123">
            <v>577.6140204488072</v>
          </cell>
          <cell r="C123">
            <v>2.7076467994142894</v>
          </cell>
          <cell r="M123">
            <v>15000</v>
          </cell>
          <cell r="N123">
            <v>635.97170877483984</v>
          </cell>
          <cell r="O123">
            <v>416222.65731296805</v>
          </cell>
          <cell r="P123">
            <v>9847.4562245854868</v>
          </cell>
        </row>
        <row r="124">
          <cell r="B124">
            <v>297.8157361692115</v>
          </cell>
          <cell r="C124">
            <v>3.108386244382364</v>
          </cell>
          <cell r="M124">
            <v>16000</v>
          </cell>
          <cell r="N124">
            <v>399.30456919019997</v>
          </cell>
          <cell r="O124">
            <v>407811.32722634566</v>
          </cell>
          <cell r="P124">
            <v>8184.0371464974587</v>
          </cell>
        </row>
        <row r="125">
          <cell r="B125">
            <v>123.18179691128913</v>
          </cell>
          <cell r="C125">
            <v>3.0720172779758599</v>
          </cell>
          <cell r="M125">
            <v>17000</v>
          </cell>
          <cell r="N125">
            <v>249.73015012610333</v>
          </cell>
          <cell r="O125">
            <v>398009.15918174793</v>
          </cell>
          <cell r="P125">
            <v>6775.0318324465597</v>
          </cell>
        </row>
        <row r="126">
          <cell r="M126">
            <v>18000</v>
          </cell>
          <cell r="N126">
            <v>155.64397785027458</v>
          </cell>
          <cell r="O126">
            <v>387098.50437931652</v>
          </cell>
          <cell r="P126">
            <v>5589.2010663350184</v>
          </cell>
        </row>
        <row r="127">
          <cell r="M127">
            <v>19000</v>
          </cell>
          <cell r="N127">
            <v>96.705500568056266</v>
          </cell>
          <cell r="O127">
            <v>375324.94743047882</v>
          </cell>
          <cell r="P127">
            <v>4596.694472173589</v>
          </cell>
        </row>
        <row r="128">
          <cell r="M128">
            <v>20000</v>
          </cell>
          <cell r="N128">
            <v>59.919106923506675</v>
          </cell>
          <cell r="O128">
            <v>362901.42236952146</v>
          </cell>
          <cell r="P128">
            <v>3769.9608713862731</v>
          </cell>
        </row>
        <row r="141">
          <cell r="B141">
            <v>0</v>
          </cell>
          <cell r="C141">
            <v>0.1</v>
          </cell>
          <cell r="D141">
            <v>0.2</v>
          </cell>
          <cell r="E141">
            <v>0.3</v>
          </cell>
          <cell r="F141">
            <v>0.4</v>
          </cell>
          <cell r="G141">
            <v>0.5</v>
          </cell>
          <cell r="H141">
            <v>0.6</v>
          </cell>
          <cell r="I141">
            <v>0.7</v>
          </cell>
          <cell r="J141">
            <v>0.8</v>
          </cell>
          <cell r="K141">
            <v>0.9</v>
          </cell>
          <cell r="L141">
            <v>1</v>
          </cell>
          <cell r="M141">
            <v>1.1000000000000001</v>
          </cell>
          <cell r="N141">
            <v>1.2</v>
          </cell>
          <cell r="O141">
            <v>1.3</v>
          </cell>
          <cell r="P141">
            <v>1.4</v>
          </cell>
          <cell r="Q141">
            <v>1.5</v>
          </cell>
          <cell r="R141">
            <v>1.6</v>
          </cell>
          <cell r="S141">
            <v>1.7</v>
          </cell>
          <cell r="T141">
            <v>1.8</v>
          </cell>
        </row>
        <row r="151">
          <cell r="B151">
            <v>100</v>
          </cell>
          <cell r="C151">
            <v>74.090508528276828</v>
          </cell>
          <cell r="D151">
            <v>55.622553251608679</v>
          </cell>
          <cell r="E151">
            <v>42.286316453943883</v>
          </cell>
          <cell r="F151">
            <v>32.531231292725252</v>
          </cell>
          <cell r="G151">
            <v>25.305749664169895</v>
          </cell>
          <cell r="H151">
            <v>19.889070589917786</v>
          </cell>
          <cell r="I151">
            <v>15.781591204150159</v>
          </cell>
          <cell r="J151">
            <v>12.633060990912441</v>
          </cell>
          <cell r="K151">
            <v>10.195088224271302</v>
          </cell>
          <cell r="L151">
            <v>8.2894773561510018</v>
          </cell>
          <cell r="M151">
            <v>6.7869300196163165</v>
          </cell>
          <cell r="N151">
            <v>5.5925816305988283</v>
          </cell>
          <cell r="O151">
            <v>4.6360828546187367</v>
          </cell>
          <cell r="P151">
            <v>3.8647286170376112</v>
          </cell>
          <cell r="Q151">
            <v>3.2386489252238486</v>
          </cell>
          <cell r="R151">
            <v>2.7274076106583367</v>
          </cell>
          <cell r="S151">
            <v>2.3075717242952232</v>
          </cell>
          <cell r="T151">
            <v>1.9609567002305164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PR-org"/>
      <sheetName val="YPR (2)"/>
      <sheetName val="cat F0.1"/>
      <sheetName val="cat F0.1 (2)"/>
      <sheetName val="Kcohort.bas results (2)"/>
      <sheetName val="Mar.5 cohort"/>
      <sheetName val="Kcohort - &gt; spr"/>
      <sheetName val="Esitmation Exec"/>
      <sheetName val="Esitmation Exec (2)"/>
      <sheetName val="Esitmation Output Ricker"/>
      <sheetName val="Kcohort BH spr (2)"/>
      <sheetName val="Esitmation Bev.&amp;Holt"/>
      <sheetName val="Esitmation Bev.&amp;Holt (2)"/>
      <sheetName val="Esitmation 1997年度最終版"/>
      <sheetName val="Esitmation 1997年度最終版 (2)"/>
      <sheetName val="Sheet1"/>
    </sheetNames>
    <sheetDataSet>
      <sheetData sheetId="0">
        <row r="3">
          <cell r="B3">
            <v>3000</v>
          </cell>
        </row>
        <row r="4">
          <cell r="B4">
            <v>0.1</v>
          </cell>
        </row>
        <row r="5">
          <cell r="B5">
            <v>-0.8</v>
          </cell>
        </row>
        <row r="6">
          <cell r="B6">
            <v>15</v>
          </cell>
        </row>
        <row r="8">
          <cell r="B8">
            <v>3.7</v>
          </cell>
        </row>
        <row r="10">
          <cell r="B10">
            <v>3.7</v>
          </cell>
        </row>
        <row r="14">
          <cell r="C14">
            <v>0</v>
          </cell>
          <cell r="E14">
            <v>1</v>
          </cell>
        </row>
        <row r="15">
          <cell r="C15">
            <v>1</v>
          </cell>
          <cell r="E15">
            <v>-3</v>
          </cell>
        </row>
        <row r="16">
          <cell r="C16">
            <v>2</v>
          </cell>
          <cell r="E16">
            <v>3</v>
          </cell>
        </row>
        <row r="17">
          <cell r="C17">
            <v>3</v>
          </cell>
          <cell r="E17">
            <v>-1</v>
          </cell>
        </row>
        <row r="27">
          <cell r="H27">
            <v>0.03</v>
          </cell>
        </row>
        <row r="33">
          <cell r="H33">
            <v>0.09</v>
          </cell>
        </row>
        <row r="39">
          <cell r="H39">
            <v>0.18</v>
          </cell>
        </row>
        <row r="45">
          <cell r="H45">
            <v>0.3</v>
          </cell>
        </row>
        <row r="51">
          <cell r="H51">
            <v>0.45</v>
          </cell>
        </row>
      </sheetData>
      <sheetData sheetId="1"/>
      <sheetData sheetId="2">
        <row r="13">
          <cell r="B13">
            <v>452</v>
          </cell>
        </row>
      </sheetData>
      <sheetData sheetId="3"/>
      <sheetData sheetId="4">
        <row r="2">
          <cell r="J2">
            <v>-0.25</v>
          </cell>
        </row>
        <row r="5">
          <cell r="J5">
            <v>254.5585312156301</v>
          </cell>
        </row>
        <row r="6">
          <cell r="J6">
            <v>301.57837569079163</v>
          </cell>
        </row>
        <row r="7">
          <cell r="J7">
            <v>337.40064455997492</v>
          </cell>
        </row>
        <row r="8">
          <cell r="J8">
            <v>364.69199273986806</v>
          </cell>
        </row>
        <row r="9">
          <cell r="J9">
            <v>385.48402264160597</v>
          </cell>
        </row>
        <row r="10">
          <cell r="J10">
            <v>401.32451921895239</v>
          </cell>
        </row>
      </sheetData>
      <sheetData sheetId="5"/>
      <sheetData sheetId="6"/>
      <sheetData sheetId="7">
        <row r="6">
          <cell r="B6">
            <v>0.29499999999999998</v>
          </cell>
          <cell r="E6">
            <v>6.8955103643059332E-2</v>
          </cell>
          <cell r="J6">
            <v>81.613087998906053</v>
          </cell>
          <cell r="L6">
            <v>5.6243967082430124E-2</v>
          </cell>
        </row>
        <row r="7">
          <cell r="E7">
            <v>0.36527055854027618</v>
          </cell>
          <cell r="J7">
            <v>222.53055485792771</v>
          </cell>
          <cell r="K7">
            <v>0.3</v>
          </cell>
          <cell r="L7">
            <v>0.29793683404590227</v>
          </cell>
        </row>
        <row r="8">
          <cell r="E8">
            <v>1.22551087031297</v>
          </cell>
          <cell r="J8">
            <v>402.89424735487108</v>
          </cell>
          <cell r="K8">
            <v>1</v>
          </cell>
          <cell r="L8">
            <v>0.99960103614434748</v>
          </cell>
        </row>
        <row r="9">
          <cell r="E9">
            <v>1.22551087031297</v>
          </cell>
          <cell r="J9">
            <v>593.24426621403961</v>
          </cell>
          <cell r="K9">
            <v>1</v>
          </cell>
          <cell r="L9">
            <v>1</v>
          </cell>
        </row>
        <row r="10">
          <cell r="E10">
            <v>1.22551087031297</v>
          </cell>
          <cell r="J10">
            <v>773.76110833411508</v>
          </cell>
          <cell r="K10">
            <v>1</v>
          </cell>
          <cell r="L10">
            <v>1</v>
          </cell>
        </row>
        <row r="11">
          <cell r="E11">
            <v>1.22551087031297</v>
          </cell>
          <cell r="J11">
            <v>934.03139499371184</v>
          </cell>
          <cell r="K11">
            <v>1</v>
          </cell>
          <cell r="L11">
            <v>1</v>
          </cell>
        </row>
        <row r="12">
          <cell r="E12">
            <v>1.22551087031297</v>
          </cell>
          <cell r="J12">
            <v>1070.2893650880785</v>
          </cell>
          <cell r="K12">
            <v>1</v>
          </cell>
          <cell r="L12">
            <v>1</v>
          </cell>
        </row>
        <row r="33">
          <cell r="B33">
            <v>0.32</v>
          </cell>
        </row>
        <row r="62">
          <cell r="B62">
            <v>1.4</v>
          </cell>
        </row>
        <row r="92">
          <cell r="B92">
            <v>0</v>
          </cell>
        </row>
        <row r="122">
          <cell r="B122">
            <v>0</v>
          </cell>
        </row>
        <row r="152">
          <cell r="B152">
            <v>0</v>
          </cell>
        </row>
      </sheetData>
      <sheetData sheetId="8"/>
      <sheetData sheetId="9"/>
      <sheetData sheetId="10">
        <row r="207">
          <cell r="E207">
            <v>0.16866165035323216</v>
          </cell>
        </row>
        <row r="208">
          <cell r="E208">
            <v>1.9483236842697829E-10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域月計"/>
      <sheetName val="常磐"/>
      <sheetName val="三陸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2年度作業　2001年度ABC算定作業"/>
      <sheetName val="2002年再評価ルールH14"/>
      <sheetName val="2001年度ABC算定作業 再評価"/>
      <sheetName val="予測"/>
      <sheetName val="予測加入良好"/>
      <sheetName val="予測加入不良"/>
      <sheetName val="ABC感度"/>
      <sheetName val="管理基準比較"/>
      <sheetName val="管理基準比較 (2)"/>
      <sheetName val="○管理基準選定 Fave 3-yr"/>
      <sheetName val="管理基準選定 2007 SSB av=24万トン"/>
      <sheetName val="管理基準選定 sim 2007-100万トン"/>
      <sheetName val="管理基準選定　Fmed_low"/>
      <sheetName val="管理基準選定 F2001"/>
      <sheetName val="管理基準選定 F30%spr "/>
      <sheetName val="管理基準選定 Fmed"/>
      <sheetName val="管理基準選定original"/>
      <sheetName val="ABC決定用RPSなど"/>
      <sheetName val="TVPA 1歳＋CPUE年齢別 結果 (2)"/>
      <sheetName val="2002年度作成現存量調査資料"/>
      <sheetName val="TVPA 1歳＋CPUE年齢別 結果"/>
      <sheetName val="TVPA 1歳＋CPUE年齢別"/>
      <sheetName val="cohort step1　選択率の決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6">
          <cell r="U56">
            <v>171791.29582516724</v>
          </cell>
        </row>
        <row r="169">
          <cell r="B169">
            <v>4.3823878084534957E-3</v>
          </cell>
        </row>
        <row r="170">
          <cell r="B170">
            <v>0.1974741370736417</v>
          </cell>
        </row>
      </sheetData>
      <sheetData sheetId="17"/>
      <sheetData sheetId="18">
        <row r="164">
          <cell r="B164">
            <v>6.278734643143288E-3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年度VPA (「基礎シート」直近5年平均で定率F)"/>
      <sheetName val="ABC再評価"/>
      <sheetName val="2005年度VPA (2004年再々評価直近5年平均) "/>
      <sheetName val="2005年度VPA (2005年再評価直近5年平均) "/>
      <sheetName val="2004年齢別漁獲尾数調整"/>
      <sheetName val="cohort設定値"/>
      <sheetName val="ここから右のシートは直接使わず"/>
      <sheetName val="2005年度VPA (「基本シート」直近5年平均)"/>
      <sheetName val="2005年度VPA (「Fを減じず」直近5年平均)"/>
      <sheetName val="2005年度VPA (直近3年平均) (Bban計算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69">
          <cell r="DC69">
            <v>1.8898699654152078E-3</v>
          </cell>
        </row>
        <row r="72">
          <cell r="DB72">
            <v>0.32827556815976988</v>
          </cell>
          <cell r="DC72">
            <v>0.26135892040356085</v>
          </cell>
        </row>
        <row r="86">
          <cell r="DA86">
            <v>184271.49356492414</v>
          </cell>
        </row>
        <row r="116">
          <cell r="AG116">
            <v>0.156</v>
          </cell>
        </row>
        <row r="127">
          <cell r="AE127">
            <v>0.50065982323152658</v>
          </cell>
        </row>
        <row r="457">
          <cell r="AK457">
            <v>1.6826818877421412</v>
          </cell>
          <cell r="AQ457">
            <v>0.49425094042246714</v>
          </cell>
        </row>
        <row r="509">
          <cell r="I509">
            <v>931.01896113478392</v>
          </cell>
        </row>
      </sheetData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1110大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abaSPR"/>
      <sheetName val="SRR"/>
      <sheetName val="Sardine"/>
      <sheetName val="Example"/>
      <sheetName val="masaba"/>
      <sheetName val="Sukeso"/>
      <sheetName val="Graphs"/>
      <sheetName val="Sheet3"/>
      <sheetName val="MasabaStep3"/>
      <sheetName val="Graphs (E-BW)"/>
      <sheetName val="Graphs (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0.1"/>
      <sheetName val="F30"/>
      <sheetName val="Fcurrent"/>
      <sheetName val="Fsim"/>
      <sheetName val="Fmed"/>
      <sheetName val="Sheet1"/>
      <sheetName val="資源評価まとめ（TVPA）過去5年間の選択率"/>
      <sheetName val="資源評価まとめ（TVPA） 2004年の選択率で"/>
      <sheetName val="資源評価（TVPA）"/>
      <sheetName val="2004年度現存量調査"/>
      <sheetName val="2004年度　TVPA　CPUE+現存量"/>
      <sheetName val="2004年度 選択率の決定"/>
      <sheetName val="従来のcohort設定値"/>
    </sheetNames>
    <sheetDataSet>
      <sheetData sheetId="0" refreshError="1"/>
      <sheetData sheetId="1">
        <row r="5">
          <cell r="I5">
            <v>0.40208274191742399</v>
          </cell>
        </row>
      </sheetData>
      <sheetData sheetId="2" refreshError="1"/>
      <sheetData sheetId="3" refreshError="1"/>
      <sheetData sheetId="4">
        <row r="38">
          <cell r="AA38">
            <v>9.3910296566760872E-3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将来予測"/>
      <sheetName val="太平洋pr98a5 Faveg)"/>
      <sheetName val="太平洋pr98a5 Faveg B"/>
      <sheetName val="太平洋pr98a5 Faveg G"/>
      <sheetName val="太平洋pr98a5 Ftarget P"/>
      <sheetName val="太平洋pr98a5 Ftarget P 再評価"/>
      <sheetName val="太平洋pr98a5 Ftarget P B"/>
      <sheetName val="太平洋pr98a5 Ftarget P G"/>
      <sheetName val="太平洋pr98a5 Flimit B"/>
      <sheetName val="太平洋pr98a5 Flimit G"/>
      <sheetName val="太平洋pr98a5 Flimit"/>
      <sheetName val="太平洋pr98a5 Flimit 再評価"/>
      <sheetName val="太平洋pr98a5 Flimit (2)"/>
    </sheetNames>
    <sheetDataSet>
      <sheetData sheetId="0"/>
      <sheetData sheetId="1"/>
      <sheetData sheetId="2"/>
      <sheetData sheetId="3"/>
      <sheetData sheetId="4" refreshError="1">
        <row r="143">
          <cell r="C143">
            <v>206.306395311187</v>
          </cell>
        </row>
        <row r="148">
          <cell r="E148">
            <v>0.5417558500254005</v>
          </cell>
        </row>
        <row r="161">
          <cell r="B161">
            <v>2086993954.3669837</v>
          </cell>
        </row>
        <row r="163">
          <cell r="B163">
            <v>154.72979648339026</v>
          </cell>
        </row>
        <row r="171">
          <cell r="E171">
            <v>0.40667279553391533</v>
          </cell>
        </row>
        <row r="176">
          <cell r="E176">
            <v>0.48073405575427453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ningの結果まとめグラフ"/>
      <sheetName val="★2007VPAFt5年RPSav10尾数 1LN"/>
      <sheetName val="2007VPAFt5年RPSav10月尾数 (1)"/>
      <sheetName val="★2008VPAFt5年RPSavg (1歳SPR未修正)"/>
      <sheetName val="★2008VPAFt5年RPSavg (BIG)"/>
      <sheetName val="★2008VPAFt5年RPSavg (仮作図用)"/>
      <sheetName val="★2008VPA将来予測 (2006に98代入Blim分のB)"/>
      <sheetName val="★2008VPA将来予測 (2006に98代入)"/>
      <sheetName val="★2008VPAFt5年RPSavg"/>
      <sheetName val="★2007年齢別漁獲尾数調整"/>
      <sheetName val="★cohort設定値"/>
      <sheetName val="ここから右は水試提供基礎データ"/>
      <sheetName val="本間統一成熟率1999-2001"/>
      <sheetName val="本間統一平均体重"/>
      <sheetName val="本間提供年齢別漁獲尾数"/>
      <sheetName val="本間韓国船補正"/>
      <sheetName val="ここから右は再評価に用いるシート（2006年版）"/>
      <sheetName val="ABC再評価"/>
      <sheetName val="★2007年度ABC再評価"/>
      <sheetName val="★2006年度ABC再々評価"/>
      <sheetName val="ここから右のシートは直接使わず"/>
      <sheetName val="ここから右はMや体重変更の試算"/>
      <sheetName val="2005年度VPA0.75M新体重新引き延ばし81-"/>
      <sheetName val="2005年度VPA0.75M新体重従来引き延ばし"/>
      <sheetName val="2005年度VPA0.75M新体重新引き延ばし"/>
      <sheetName val="2005年度VPA0.5M新体重新引き延ばし"/>
    </sheetNames>
    <sheetDataSet>
      <sheetData sheetId="0" refreshError="1"/>
      <sheetData sheetId="1">
        <row r="593">
          <cell r="Y593">
            <v>1.3505475980686774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沿岸"/>
      <sheetName val="道東漁獲量整理"/>
      <sheetName val="太平洋漁獲物平均体重"/>
      <sheetName val="東北まとめ"/>
      <sheetName val="まとめCAA"/>
      <sheetName val="1998年度"/>
      <sheetName val="1998年度道東"/>
      <sheetName val="1998年度襟裳西"/>
      <sheetName val="&lt;-1998  1999-&gt;"/>
      <sheetName val="1999年度"/>
      <sheetName val="1999年度道東"/>
      <sheetName val="東北改訂版"/>
      <sheetName val="1999年度CAA沖底"/>
      <sheetName val="1999年度襟裳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da-masaba"/>
      <sheetName val="Cohort calclate"/>
      <sheetName val="Cohort calclate (2)"/>
      <sheetName val="Mar.5 cohort"/>
      <sheetName val="Kcohort - &gt; spr"/>
      <sheetName val="Esitmation Exec"/>
      <sheetName val="Esitmation Output Ricker"/>
      <sheetName val="Kcohort BH spr (2)"/>
      <sheetName val="Esitmation Bev.&amp;Holt"/>
    </sheetNames>
    <sheetDataSet>
      <sheetData sheetId="0">
        <row r="25">
          <cell r="E25">
            <v>100000</v>
          </cell>
        </row>
        <row r="48">
          <cell r="G48">
            <v>1000000000</v>
          </cell>
        </row>
      </sheetData>
      <sheetData sheetId="1">
        <row r="24">
          <cell r="D24">
            <v>10000</v>
          </cell>
        </row>
      </sheetData>
      <sheetData sheetId="2"/>
      <sheetData sheetId="3"/>
      <sheetData sheetId="4"/>
      <sheetData sheetId="5"/>
      <sheetData sheetId="6"/>
      <sheetData sheetId="7">
        <row r="211">
          <cell r="E211">
            <v>5.929030090157875</v>
          </cell>
        </row>
        <row r="273">
          <cell r="B273">
            <v>1233.2296826755883</v>
          </cell>
        </row>
      </sheetData>
      <sheetData sheetId="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2">
          <cell r="B62">
            <v>45695.830624708266</v>
          </cell>
          <cell r="C62">
            <v>78221.349849409962</v>
          </cell>
          <cell r="D62">
            <v>99582.014199395504</v>
          </cell>
          <cell r="E62">
            <v>64837.461280724703</v>
          </cell>
          <cell r="F62">
            <v>323176.64444252412</v>
          </cell>
          <cell r="G62">
            <v>238282.8965724119</v>
          </cell>
          <cell r="H62">
            <v>197519.52807685887</v>
          </cell>
          <cell r="I62">
            <v>226747.13612850878</v>
          </cell>
          <cell r="J62">
            <v>271479.285924825</v>
          </cell>
          <cell r="K62">
            <v>355048.48011325375</v>
          </cell>
          <cell r="L62">
            <v>529630.44298597239</v>
          </cell>
          <cell r="M62">
            <v>464672.04910281592</v>
          </cell>
          <cell r="N62">
            <v>36630.050441881773</v>
          </cell>
          <cell r="O62">
            <v>20717.689636598236</v>
          </cell>
          <cell r="P62">
            <v>5649.1202437734028</v>
          </cell>
          <cell r="Q62">
            <v>3677.6894138987273</v>
          </cell>
          <cell r="R62">
            <v>27902.834475425258</v>
          </cell>
          <cell r="S62">
            <v>8660.7158545512139</v>
          </cell>
          <cell r="T62">
            <v>6666.5729391200402</v>
          </cell>
          <cell r="U62">
            <v>2658.9286721446474</v>
          </cell>
        </row>
        <row r="63">
          <cell r="B63">
            <v>26116.049957876876</v>
          </cell>
          <cell r="C63">
            <v>28895.940822218981</v>
          </cell>
          <cell r="D63">
            <v>49642.285694783488</v>
          </cell>
          <cell r="E63">
            <v>64635.401345753904</v>
          </cell>
          <cell r="F63">
            <v>41302.857034662724</v>
          </cell>
          <cell r="G63">
            <v>206709.58518380413</v>
          </cell>
          <cell r="H63">
            <v>154928.03998688766</v>
          </cell>
          <cell r="I63">
            <v>129260.64798461064</v>
          </cell>
          <cell r="J63">
            <v>148435.76560598754</v>
          </cell>
          <cell r="K63">
            <v>171783.17210152416</v>
          </cell>
          <cell r="L63">
            <v>221549.4501665695</v>
          </cell>
          <cell r="M63">
            <v>351936.92544663523</v>
          </cell>
          <cell r="N63">
            <v>297804.54830816598</v>
          </cell>
          <cell r="O63">
            <v>22789.492325606931</v>
          </cell>
          <cell r="P63">
            <v>9403.2943363485101</v>
          </cell>
          <cell r="Q63">
            <v>2735.4682549149206</v>
          </cell>
          <cell r="R63">
            <v>2229.4344803429194</v>
          </cell>
          <cell r="S63">
            <v>15958.625075021408</v>
          </cell>
          <cell r="T63">
            <v>3721.7816837408973</v>
          </cell>
          <cell r="U63">
            <v>2571.7383245692085</v>
          </cell>
        </row>
        <row r="64">
          <cell r="B64">
            <v>5980.75766768424</v>
          </cell>
          <cell r="C64">
            <v>12495.479601195835</v>
          </cell>
          <cell r="D64">
            <v>15695.883493132031</v>
          </cell>
          <cell r="E64">
            <v>27638.43926654664</v>
          </cell>
          <cell r="F64">
            <v>40113.705730539776</v>
          </cell>
          <cell r="G64">
            <v>26602.133511803298</v>
          </cell>
          <cell r="H64">
            <v>110460.28301851993</v>
          </cell>
          <cell r="I64">
            <v>95049.196569880529</v>
          </cell>
          <cell r="J64">
            <v>82163.452634538815</v>
          </cell>
          <cell r="K64">
            <v>85824.209465679407</v>
          </cell>
          <cell r="L64">
            <v>102271.06908532517</v>
          </cell>
          <cell r="M64">
            <v>126709.5126033711</v>
          </cell>
          <cell r="N64">
            <v>227902.37057117413</v>
          </cell>
          <cell r="O64">
            <v>185476.69111836507</v>
          </cell>
          <cell r="P64">
            <v>14226.640719383713</v>
          </cell>
          <cell r="Q64">
            <v>3534.2692855180644</v>
          </cell>
          <cell r="R64">
            <v>1195.8479499158516</v>
          </cell>
          <cell r="S64">
            <v>707.63436978896675</v>
          </cell>
          <cell r="T64">
            <v>1931.2361217479061</v>
          </cell>
          <cell r="U64">
            <v>1102.1238585941501</v>
          </cell>
        </row>
        <row r="65">
          <cell r="B65">
            <v>413.11030524163056</v>
          </cell>
          <cell r="C65">
            <v>2368.2853259618269</v>
          </cell>
          <cell r="D65">
            <v>4577.0597672291478</v>
          </cell>
          <cell r="E65">
            <v>7460.0310599277191</v>
          </cell>
          <cell r="F65">
            <v>14927.459490973957</v>
          </cell>
          <cell r="G65">
            <v>24294.463315451383</v>
          </cell>
          <cell r="H65">
            <v>16330.391159133191</v>
          </cell>
          <cell r="I65">
            <v>53898.053087847198</v>
          </cell>
          <cell r="J65">
            <v>48376.098622963007</v>
          </cell>
          <cell r="K65">
            <v>46231.061026929681</v>
          </cell>
          <cell r="L65">
            <v>48419.670950507862</v>
          </cell>
          <cell r="M65">
            <v>58767.240315095027</v>
          </cell>
          <cell r="N65">
            <v>70451.760568742553</v>
          </cell>
          <cell r="O65">
            <v>139749.70855896088</v>
          </cell>
          <cell r="P65">
            <v>118772.83723861333</v>
          </cell>
          <cell r="Q65">
            <v>7415.8898114778176</v>
          </cell>
          <cell r="R65">
            <v>1586.3849502282642</v>
          </cell>
          <cell r="S65">
            <v>564.16893444660366</v>
          </cell>
          <cell r="T65">
            <v>281.93977636001512</v>
          </cell>
          <cell r="U65">
            <v>154.87307775119501</v>
          </cell>
        </row>
        <row r="66">
          <cell r="B66">
            <v>96.21262421434264</v>
          </cell>
          <cell r="C66">
            <v>97.614083903288758</v>
          </cell>
          <cell r="D66">
            <v>397.89334450195315</v>
          </cell>
          <cell r="E66">
            <v>1431.4521384740287</v>
          </cell>
          <cell r="F66">
            <v>2900.5639818730242</v>
          </cell>
          <cell r="G66">
            <v>6394.753981357826</v>
          </cell>
          <cell r="H66">
            <v>13491.556438522448</v>
          </cell>
          <cell r="I66">
            <v>9184.6799729463401</v>
          </cell>
          <cell r="J66">
            <v>16322.211048614528</v>
          </cell>
          <cell r="K66">
            <v>17999.795325228992</v>
          </cell>
          <cell r="L66">
            <v>20612.194660584533</v>
          </cell>
          <cell r="M66">
            <v>22095.638380373079</v>
          </cell>
          <cell r="N66">
            <v>26481.475257362203</v>
          </cell>
          <cell r="O66">
            <v>38232.288795922796</v>
          </cell>
          <cell r="P66">
            <v>83236.576511459396</v>
          </cell>
          <cell r="Q66">
            <v>73368.898079585779</v>
          </cell>
          <cell r="R66">
            <v>4177.6695000924747</v>
          </cell>
          <cell r="S66">
            <v>796.47940736383327</v>
          </cell>
          <cell r="T66">
            <v>166.94121181600559</v>
          </cell>
          <cell r="U66">
            <v>31.793579277950659</v>
          </cell>
        </row>
        <row r="67">
          <cell r="B67">
            <v>1.1054207473826188</v>
          </cell>
          <cell r="C67">
            <v>1.4509827055632132</v>
          </cell>
          <cell r="D67">
            <v>26.952331821114129</v>
          </cell>
          <cell r="E67">
            <v>26.009043598897051</v>
          </cell>
          <cell r="F67">
            <v>390.51318997052795</v>
          </cell>
          <cell r="G67">
            <v>650.71159199523152</v>
          </cell>
          <cell r="H67">
            <v>2875.8586956170029</v>
          </cell>
          <cell r="I67">
            <v>5976.6953319326731</v>
          </cell>
          <cell r="J67">
            <v>5293.7328885438119</v>
          </cell>
          <cell r="K67">
            <v>3898.3833235339112</v>
          </cell>
          <cell r="L67">
            <v>5735.1974482406258</v>
          </cell>
          <cell r="M67">
            <v>6123.9731178578659</v>
          </cell>
          <cell r="N67">
            <v>7535.089133714494</v>
          </cell>
          <cell r="O67">
            <v>10673.9550840006</v>
          </cell>
          <cell r="P67">
            <v>18143.033041091912</v>
          </cell>
          <cell r="Q67">
            <v>46068.624452444055</v>
          </cell>
          <cell r="R67">
            <v>43603.449248324847</v>
          </cell>
          <cell r="S67">
            <v>2558.8500394656689</v>
          </cell>
          <cell r="T67">
            <v>420.91126908580191</v>
          </cell>
          <cell r="U67">
            <v>49.680503555823648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  <row r="73">
          <cell r="B73">
            <v>0.33718311924544803</v>
          </cell>
          <cell r="C73">
            <v>0.21030264919023331</v>
          </cell>
          <cell r="D73">
            <v>0.18563547387193621</v>
          </cell>
          <cell r="E73">
            <v>7.7044204427408905E-2</v>
          </cell>
          <cell r="F73">
            <v>3.9940255387189344E-2</v>
          </cell>
          <cell r="G73">
            <v>0.22665881140394151</v>
          </cell>
          <cell r="H73">
            <v>8.8566134780597633E-2</v>
          </cell>
          <cell r="I73">
            <v>5.3120304814999394E-2</v>
          </cell>
          <cell r="J73">
            <v>0.14785118152361512</v>
          </cell>
          <cell r="K73">
            <v>0.11860622591691684</v>
          </cell>
          <cell r="L73">
            <v>0.15874865163344268</v>
          </cell>
          <cell r="M73">
            <v>3.4534632468031387E-2</v>
          </cell>
          <cell r="N73">
            <v>7.3508173358828463E-2</v>
          </cell>
          <cell r="O73">
            <v>7.1183252903067262E-2</v>
          </cell>
          <cell r="P73">
            <v>0.57855351969246716</v>
          </cell>
          <cell r="Q73">
            <v>0.42744711432878341</v>
          </cell>
          <cell r="R73">
            <v>0.74757570258671147</v>
          </cell>
          <cell r="S73">
            <v>1.7118391646409326</v>
          </cell>
          <cell r="T73">
            <v>0.81696340208510421</v>
          </cell>
          <cell r="U73">
            <v>1.2528089724967524</v>
          </cell>
        </row>
        <row r="74">
          <cell r="B74">
            <v>0.52638105807271984</v>
          </cell>
          <cell r="C74">
            <v>0.60431012724635313</v>
          </cell>
          <cell r="D74">
            <v>0.34383890234851955</v>
          </cell>
          <cell r="E74">
            <v>0.21600509510983729</v>
          </cell>
          <cell r="F74">
            <v>0.10146958742291337</v>
          </cell>
          <cell r="G74">
            <v>8.7963559679572839E-2</v>
          </cell>
          <cell r="H74">
            <v>0.31756167020740189</v>
          </cell>
          <cell r="I74">
            <v>0.27538875454408435</v>
          </cell>
          <cell r="J74">
            <v>0.17505869925557016</v>
          </cell>
          <cell r="K74">
            <v>0.17239497254672223</v>
          </cell>
          <cell r="L74">
            <v>0.15404226617334846</v>
          </cell>
          <cell r="M74">
            <v>0.18696893588886998</v>
          </cell>
          <cell r="N74">
            <v>8.9064311414411179E-2</v>
          </cell>
          <cell r="O74">
            <v>4.5716481790698635E-2</v>
          </cell>
          <cell r="P74">
            <v>0.25149134397719525</v>
          </cell>
          <cell r="Q74">
            <v>0.40104875806615531</v>
          </cell>
          <cell r="R74">
            <v>0.35125705844241467</v>
          </cell>
          <cell r="S74">
            <v>0.52023404432360065</v>
          </cell>
          <cell r="T74">
            <v>2.1233096262125617</v>
          </cell>
          <cell r="U74">
            <v>1.6046057845212187</v>
          </cell>
        </row>
        <row r="75">
          <cell r="B75">
            <v>1.0426928549139911</v>
          </cell>
          <cell r="C75">
            <v>1.3837374903943629</v>
          </cell>
          <cell r="D75">
            <v>0.76236740928329516</v>
          </cell>
          <cell r="E75">
            <v>0.54465438314392378</v>
          </cell>
          <cell r="F75">
            <v>0.4477244718943823</v>
          </cell>
          <cell r="G75">
            <v>0.18818443651341474</v>
          </cell>
          <cell r="H75">
            <v>0.17549098439972691</v>
          </cell>
          <cell r="I75">
            <v>0.7945675351641599</v>
          </cell>
          <cell r="J75">
            <v>0.58864547463336703</v>
          </cell>
          <cell r="K75">
            <v>0.40776901432140583</v>
          </cell>
          <cell r="L75">
            <v>0.38452592505992522</v>
          </cell>
          <cell r="M75">
            <v>0.39713912049445266</v>
          </cell>
          <cell r="N75">
            <v>0.21124781334010281</v>
          </cell>
          <cell r="O75">
            <v>0.11816615383342244</v>
          </cell>
          <cell r="P75">
            <v>8.1712624078191895E-2</v>
          </cell>
          <cell r="Q75">
            <v>0.17387141474549656</v>
          </cell>
          <cell r="R75">
            <v>0.28901181530608433</v>
          </cell>
          <cell r="S75">
            <v>0.81771201042126818</v>
          </cell>
          <cell r="T75">
            <v>1.7824291292228462</v>
          </cell>
          <cell r="U75">
            <v>1.3221643100136904</v>
          </cell>
        </row>
        <row r="76">
          <cell r="B76">
            <v>3.7943195230480113</v>
          </cell>
          <cell r="C76">
            <v>0.88695196770969442</v>
          </cell>
          <cell r="D76">
            <v>2.3277396824642298</v>
          </cell>
          <cell r="E76">
            <v>0.89898294360928455</v>
          </cell>
          <cell r="F76">
            <v>1.094593952578335</v>
          </cell>
          <cell r="G76">
            <v>0.39912665743226028</v>
          </cell>
          <cell r="H76">
            <v>0.41419624563758917</v>
          </cell>
          <cell r="I76">
            <v>0.15101322867799225</v>
          </cell>
          <cell r="J76">
            <v>1.0319648865131774</v>
          </cell>
          <cell r="K76">
            <v>0.74373820838392712</v>
          </cell>
          <cell r="L76">
            <v>0.81367178631497583</v>
          </cell>
          <cell r="M76">
            <v>0.67580956939142811</v>
          </cell>
          <cell r="N76">
            <v>0.50863877173203553</v>
          </cell>
          <cell r="O76">
            <v>0.34539378248767444</v>
          </cell>
          <cell r="P76">
            <v>0.19155475202381786</v>
          </cell>
          <cell r="Q76">
            <v>0.12036385550901979</v>
          </cell>
          <cell r="R76">
            <v>9.0195600957001326E-2</v>
          </cell>
          <cell r="S76">
            <v>0.23777922590744793</v>
          </cell>
          <cell r="T76">
            <v>0.81202915182688895</v>
          </cell>
          <cell r="U76">
            <v>0.95364576211077268</v>
          </cell>
        </row>
        <row r="97">
          <cell r="B97">
            <v>557.25923133179435</v>
          </cell>
          <cell r="C97">
            <v>1310.0002373441644</v>
          </cell>
          <cell r="D97">
            <v>1849.5546114337685</v>
          </cell>
          <cell r="E97">
            <v>3194.3613879776781</v>
          </cell>
          <cell r="F97">
            <v>7445.5430315035746</v>
          </cell>
          <cell r="G97">
            <v>5445.4296820829422</v>
          </cell>
          <cell r="H97">
            <v>3293.8666866555332</v>
          </cell>
          <cell r="I97">
            <v>3771.9483516616733</v>
          </cell>
          <cell r="J97">
            <v>4330.1909007160921</v>
          </cell>
          <cell r="K97">
            <v>3825.4755085320276</v>
          </cell>
          <cell r="L97">
            <v>5967.1604780371144</v>
          </cell>
          <cell r="M97">
            <v>4719.0829254946939</v>
          </cell>
          <cell r="N97">
            <v>8457.0346633799963</v>
          </cell>
          <cell r="O97">
            <v>15381.749340526963</v>
          </cell>
          <cell r="P97">
            <v>19050.079081799191</v>
          </cell>
          <cell r="Q97">
            <v>13695.72891851918</v>
          </cell>
          <cell r="R97">
            <v>5912.0860084558408</v>
          </cell>
          <cell r="S97">
            <v>577.6140204488072</v>
          </cell>
          <cell r="T97">
            <v>297.8157361692115</v>
          </cell>
          <cell r="U97">
            <v>123.18179691128913</v>
          </cell>
        </row>
        <row r="99">
          <cell r="B99">
            <v>45695.830624708266</v>
          </cell>
          <cell r="C99">
            <v>78221.349849409962</v>
          </cell>
          <cell r="D99">
            <v>99582.014199395504</v>
          </cell>
          <cell r="E99">
            <v>64837.461280724703</v>
          </cell>
          <cell r="F99">
            <v>323176.64444252412</v>
          </cell>
          <cell r="G99">
            <v>238282.8965724119</v>
          </cell>
          <cell r="H99">
            <v>197519.52807685887</v>
          </cell>
          <cell r="I99">
            <v>226747.13612850878</v>
          </cell>
          <cell r="J99">
            <v>271479.285924825</v>
          </cell>
          <cell r="K99">
            <v>355048.48011325375</v>
          </cell>
          <cell r="L99">
            <v>529630.44298597239</v>
          </cell>
          <cell r="M99">
            <v>464672.04910281592</v>
          </cell>
          <cell r="N99">
            <v>36630.050441881773</v>
          </cell>
          <cell r="O99">
            <v>20717.689636598236</v>
          </cell>
          <cell r="P99">
            <v>5649.1202437734028</v>
          </cell>
          <cell r="Q99">
            <v>3677.6894138987273</v>
          </cell>
          <cell r="R99">
            <v>27902.834475425258</v>
          </cell>
          <cell r="S99">
            <v>8660.7158545512139</v>
          </cell>
          <cell r="T99">
            <v>6666.5729391200402</v>
          </cell>
          <cell r="U99">
            <v>2658.9286721446474</v>
          </cell>
        </row>
        <row r="106">
          <cell r="B106">
            <v>557.25923133179435</v>
          </cell>
          <cell r="C106">
            <v>4.406731801125165</v>
          </cell>
        </row>
        <row r="107">
          <cell r="B107">
            <v>1310.0002373441644</v>
          </cell>
          <cell r="C107">
            <v>4.0895153078744997</v>
          </cell>
        </row>
        <row r="108">
          <cell r="B108">
            <v>1849.5546114337685</v>
          </cell>
          <cell r="C108">
            <v>3.9860367084277879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B109">
            <v>3194.3613879776781</v>
          </cell>
          <cell r="C109">
            <v>3.0104963532193683</v>
          </cell>
          <cell r="M109">
            <v>1000</v>
          </cell>
          <cell r="N109">
            <v>70732.31970730731</v>
          </cell>
          <cell r="O109">
            <v>91152.094667295285</v>
          </cell>
          <cell r="P109">
            <v>21608.542159125067</v>
          </cell>
        </row>
        <row r="110">
          <cell r="B110">
            <v>7445.5430315035746</v>
          </cell>
          <cell r="C110">
            <v>3.7705834579903579</v>
          </cell>
          <cell r="M110">
            <v>2000</v>
          </cell>
          <cell r="N110">
            <v>83269.442430150433</v>
          </cell>
          <cell r="O110">
            <v>167456.30036866909</v>
          </cell>
          <cell r="P110">
            <v>33672.105455217432</v>
          </cell>
        </row>
        <row r="111">
          <cell r="B111">
            <v>5445.4296820829422</v>
          </cell>
          <cell r="C111">
            <v>3.778681942439551</v>
          </cell>
          <cell r="M111">
            <v>3000</v>
          </cell>
          <cell r="N111">
            <v>73521.553562647474</v>
          </cell>
          <cell r="O111">
            <v>230726.56176070624</v>
          </cell>
          <cell r="P111">
            <v>39352.86369984776</v>
          </cell>
        </row>
        <row r="112">
          <cell r="B112">
            <v>3293.8666866555332</v>
          </cell>
          <cell r="C112">
            <v>4.0937752964231473</v>
          </cell>
          <cell r="M112">
            <v>4000</v>
          </cell>
          <cell r="N112">
            <v>57702.040567344076</v>
          </cell>
          <cell r="O112">
            <v>282579.83955464448</v>
          </cell>
          <cell r="P112">
            <v>40881.788529372505</v>
          </cell>
        </row>
        <row r="113">
          <cell r="B113">
            <v>3771.9483516616733</v>
          </cell>
          <cell r="C113">
            <v>4.0962437867147967</v>
          </cell>
          <cell r="M113">
            <v>5000</v>
          </cell>
          <cell r="N113">
            <v>42455.987278933724</v>
          </cell>
          <cell r="O113">
            <v>324456.16488100076</v>
          </cell>
          <cell r="P113">
            <v>39815.732489663111</v>
          </cell>
        </row>
        <row r="114">
          <cell r="B114">
            <v>4330.1909007160921</v>
          </cell>
          <cell r="C114">
            <v>4.1382742125594465</v>
          </cell>
          <cell r="M114">
            <v>6000</v>
          </cell>
          <cell r="N114">
            <v>29988.721448702679</v>
          </cell>
          <cell r="O114">
            <v>357636.73364452017</v>
          </cell>
          <cell r="P114">
            <v>37226.376493960044</v>
          </cell>
        </row>
        <row r="115">
          <cell r="B115">
            <v>3825.4755085320276</v>
          </cell>
          <cell r="C115">
            <v>4.5305715683427525</v>
          </cell>
          <cell r="M115">
            <v>7000</v>
          </cell>
          <cell r="N115">
            <v>20594.084938727225</v>
          </cell>
          <cell r="O115">
            <v>383260.22710949491</v>
          </cell>
          <cell r="P115">
            <v>33838.598259455757</v>
          </cell>
        </row>
        <row r="116">
          <cell r="B116">
            <v>5967.1604780371144</v>
          </cell>
          <cell r="C116">
            <v>4.4859083035140319</v>
          </cell>
          <cell r="M116">
            <v>8000</v>
          </cell>
          <cell r="N116">
            <v>13853.905034830024</v>
          </cell>
          <cell r="O116">
            <v>402337.52762012737</v>
          </cell>
          <cell r="P116">
            <v>30131.386815414495</v>
          </cell>
        </row>
        <row r="117">
          <cell r="B117">
            <v>4719.0829254946939</v>
          </cell>
          <cell r="C117">
            <v>4.5897174007466948</v>
          </cell>
          <cell r="M117">
            <v>9000</v>
          </cell>
          <cell r="N117">
            <v>9174.0792721576217</v>
          </cell>
          <cell r="O117">
            <v>415764.98261362314</v>
          </cell>
          <cell r="P117">
            <v>26411.097755931958</v>
          </cell>
        </row>
        <row r="118">
          <cell r="B118">
            <v>8457.0346633799963</v>
          </cell>
          <cell r="C118">
            <v>1.4658703542831304</v>
          </cell>
          <cell r="M118">
            <v>10000</v>
          </cell>
          <cell r="N118">
            <v>6000.0896412755174</v>
          </cell>
          <cell r="O118">
            <v>424336.35578134569</v>
          </cell>
          <cell r="P118">
            <v>22864.344374061653</v>
          </cell>
        </row>
        <row r="119">
          <cell r="B119">
            <v>15381.749340526963</v>
          </cell>
          <cell r="C119">
            <v>0.29780620828298343</v>
          </cell>
          <cell r="M119">
            <v>11000</v>
          </cell>
          <cell r="N119">
            <v>3884.974599519247</v>
          </cell>
          <cell r="O119">
            <v>428753.59124478104</v>
          </cell>
          <cell r="P119">
            <v>19595.946597974544</v>
          </cell>
        </row>
        <row r="120">
          <cell r="B120">
            <v>19050.079081799191</v>
          </cell>
          <cell r="C120">
            <v>-1.2155714288718615</v>
          </cell>
          <cell r="M120">
            <v>12000</v>
          </cell>
          <cell r="N120">
            <v>2494.6780411962131</v>
          </cell>
          <cell r="O120">
            <v>429636.50481912855</v>
          </cell>
          <cell r="P120">
            <v>16655.958020913735</v>
          </cell>
        </row>
        <row r="121">
          <cell r="B121">
            <v>13695.72891851918</v>
          </cell>
          <cell r="C121">
            <v>-1.3147993481294113</v>
          </cell>
          <cell r="M121">
            <v>13000</v>
          </cell>
          <cell r="N121">
            <v>1590.7955603520861</v>
          </cell>
          <cell r="O121">
            <v>427531.5057296016</v>
          </cell>
          <cell r="P121">
            <v>14058.744339202554</v>
          </cell>
        </row>
        <row r="122">
          <cell r="B122">
            <v>5912.0860084558408</v>
          </cell>
          <cell r="C122">
            <v>1.5517295461131813</v>
          </cell>
          <cell r="M122">
            <v>14000</v>
          </cell>
          <cell r="N122">
            <v>1008.4092328689565</v>
          </cell>
          <cell r="O122">
            <v>422919.44242529984</v>
          </cell>
          <cell r="P122">
            <v>11796.305899985309</v>
          </cell>
        </row>
        <row r="123">
          <cell r="B123">
            <v>577.6140204488072</v>
          </cell>
          <cell r="C123">
            <v>2.7076467994142894</v>
          </cell>
          <cell r="M123">
            <v>15000</v>
          </cell>
          <cell r="N123">
            <v>635.97170877483984</v>
          </cell>
          <cell r="O123">
            <v>416222.65731296805</v>
          </cell>
          <cell r="P123">
            <v>9847.4562245854868</v>
          </cell>
        </row>
        <row r="124">
          <cell r="B124">
            <v>297.8157361692115</v>
          </cell>
          <cell r="C124">
            <v>3.108386244382364</v>
          </cell>
          <cell r="M124">
            <v>16000</v>
          </cell>
          <cell r="N124">
            <v>399.30456919019997</v>
          </cell>
          <cell r="O124">
            <v>407811.32722634566</v>
          </cell>
          <cell r="P124">
            <v>8184.0371464974587</v>
          </cell>
        </row>
        <row r="125">
          <cell r="B125">
            <v>123.18179691128913</v>
          </cell>
          <cell r="C125">
            <v>3.0720172779758599</v>
          </cell>
          <cell r="M125">
            <v>17000</v>
          </cell>
          <cell r="N125">
            <v>249.73015012610333</v>
          </cell>
          <cell r="O125">
            <v>398009.15918174793</v>
          </cell>
          <cell r="P125">
            <v>6775.0318324465597</v>
          </cell>
        </row>
        <row r="126">
          <cell r="M126">
            <v>18000</v>
          </cell>
          <cell r="N126">
            <v>155.64397785027458</v>
          </cell>
          <cell r="O126">
            <v>387098.50437931652</v>
          </cell>
          <cell r="P126">
            <v>5589.2010663350184</v>
          </cell>
        </row>
        <row r="127">
          <cell r="M127">
            <v>19000</v>
          </cell>
          <cell r="N127">
            <v>96.705500568056266</v>
          </cell>
          <cell r="O127">
            <v>375324.94743047882</v>
          </cell>
          <cell r="P127">
            <v>4596.694472173589</v>
          </cell>
        </row>
        <row r="128">
          <cell r="M128">
            <v>20000</v>
          </cell>
          <cell r="N128">
            <v>59.919106923506675</v>
          </cell>
          <cell r="O128">
            <v>362901.42236952146</v>
          </cell>
          <cell r="P128">
            <v>3769.9608713862731</v>
          </cell>
        </row>
        <row r="141">
          <cell r="B141">
            <v>0</v>
          </cell>
          <cell r="C141">
            <v>0.1</v>
          </cell>
          <cell r="D141">
            <v>0.2</v>
          </cell>
          <cell r="E141">
            <v>0.3</v>
          </cell>
          <cell r="F141">
            <v>0.4</v>
          </cell>
          <cell r="G141">
            <v>0.5</v>
          </cell>
          <cell r="H141">
            <v>0.6</v>
          </cell>
          <cell r="I141">
            <v>0.7</v>
          </cell>
          <cell r="J141">
            <v>0.8</v>
          </cell>
          <cell r="K141">
            <v>0.9</v>
          </cell>
          <cell r="L141">
            <v>1</v>
          </cell>
          <cell r="M141">
            <v>1.1000000000000001</v>
          </cell>
          <cell r="N141">
            <v>1.2</v>
          </cell>
          <cell r="O141">
            <v>1.3</v>
          </cell>
          <cell r="P141">
            <v>1.4</v>
          </cell>
          <cell r="Q141">
            <v>1.5</v>
          </cell>
          <cell r="R141">
            <v>1.6</v>
          </cell>
          <cell r="S141">
            <v>1.7</v>
          </cell>
          <cell r="T141">
            <v>1.8</v>
          </cell>
        </row>
        <row r="151">
          <cell r="B151">
            <v>100</v>
          </cell>
          <cell r="C151">
            <v>74.090508528276828</v>
          </cell>
          <cell r="D151">
            <v>55.622553251608679</v>
          </cell>
          <cell r="E151">
            <v>42.286316453943883</v>
          </cell>
          <cell r="F151">
            <v>32.531231292725252</v>
          </cell>
          <cell r="G151">
            <v>25.305749664169895</v>
          </cell>
          <cell r="H151">
            <v>19.889070589917786</v>
          </cell>
          <cell r="I151">
            <v>15.781591204150159</v>
          </cell>
          <cell r="J151">
            <v>12.633060990912441</v>
          </cell>
          <cell r="K151">
            <v>10.195088224271302</v>
          </cell>
          <cell r="L151">
            <v>8.2894773561510018</v>
          </cell>
          <cell r="M151">
            <v>6.7869300196163165</v>
          </cell>
          <cell r="N151">
            <v>5.5925816305988283</v>
          </cell>
          <cell r="O151">
            <v>4.6360828546187367</v>
          </cell>
          <cell r="P151">
            <v>3.8647286170376112</v>
          </cell>
          <cell r="Q151">
            <v>3.2386489252238486</v>
          </cell>
          <cell r="R151">
            <v>2.7274076106583367</v>
          </cell>
          <cell r="S151">
            <v>2.3075717242952232</v>
          </cell>
          <cell r="T151">
            <v>1.9609567002305164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太平洋1999評価解析"/>
      <sheetName val="太平洋1999評価解析1998nasi"/>
      <sheetName val="太平洋1999評価解析P"/>
      <sheetName val="太平洋1999評価解析P1998nasi"/>
      <sheetName val="太平洋1999コホートP"/>
      <sheetName val="Sheet1"/>
      <sheetName val="再生産・予測"/>
      <sheetName val="太平洋1999ABCα"/>
      <sheetName val="太平洋1999ABCβ"/>
      <sheetName val="Sheet2"/>
      <sheetName val="Sheet2 (2)"/>
    </sheetNames>
    <sheetDataSet>
      <sheetData sheetId="0"/>
      <sheetData sheetId="1"/>
      <sheetData sheetId="2"/>
      <sheetData sheetId="3"/>
      <sheetData sheetId="4"/>
      <sheetData sheetId="5"/>
      <sheetData sheetId="6">
        <row r="114">
          <cell r="F114">
            <v>-5.1133402042436334E-3</v>
          </cell>
          <cell r="G114">
            <v>2995.3279457058929</v>
          </cell>
        </row>
      </sheetData>
      <sheetData sheetId="7"/>
      <sheetData sheetId="8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漁獲量"/>
      <sheetName val="真値漁獲尾数"/>
      <sheetName val="真値漁獲尾数2"/>
      <sheetName val="韓国船補正"/>
      <sheetName val="年齢別漁獲尾数"/>
      <sheetName val="コホー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7">
          <cell r="A17" t="str">
            <v>表１　年齢別漁獲尾数(尾）</v>
          </cell>
        </row>
        <row r="36">
          <cell r="A36" t="str">
            <v>表２　年齢別漁獲尾数(尾）</v>
          </cell>
        </row>
        <row r="53">
          <cell r="A53" t="str">
            <v>表３　年齢別資源尾数(尾）</v>
          </cell>
        </row>
        <row r="73">
          <cell r="A73" t="str">
            <v>表４　漁獲係数（Ｆ）</v>
          </cell>
        </row>
        <row r="89">
          <cell r="A89" t="str">
            <v>表５　資源重量(kg)</v>
          </cell>
        </row>
        <row r="106">
          <cell r="A106" t="str">
            <v>表６　産卵親魚量(kg)：N歳のSSB＝N+1歳の資源尾数×N+1歳の平均体重×N歳の成熟率</v>
          </cell>
        </row>
        <row r="123">
          <cell r="A123" t="str">
            <v>表７　親魚と加入尾数（２歳魚）との関係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"/>
  <sheetViews>
    <sheetView tabSelected="1" zoomScale="80" zoomScaleNormal="80" workbookViewId="0">
      <selection activeCell="M28" sqref="M28"/>
    </sheetView>
  </sheetViews>
  <sheetFormatPr defaultRowHeight="15"/>
  <cols>
    <col min="1" max="1" width="6.5" style="152" customWidth="1"/>
    <col min="2" max="7" width="10.125" style="152" customWidth="1"/>
    <col min="8" max="9" width="10.625" style="152" customWidth="1"/>
    <col min="10" max="11" width="9.375" style="152" customWidth="1"/>
    <col min="12" max="12" width="10.125" style="152" customWidth="1"/>
    <col min="13" max="16384" width="9" style="152"/>
  </cols>
  <sheetData>
    <row r="1" spans="1:24" ht="15.75">
      <c r="A1" s="152" t="s">
        <v>83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</row>
    <row r="2" spans="1:24" ht="15.75">
      <c r="A2" s="153"/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</row>
    <row r="3" spans="1:24" ht="15.75">
      <c r="A3" s="152" t="s">
        <v>84</v>
      </c>
      <c r="B3" s="153"/>
      <c r="C3" s="153"/>
      <c r="D3" s="153"/>
      <c r="E3" s="154"/>
      <c r="F3" s="153"/>
      <c r="G3" s="153"/>
      <c r="H3" s="153"/>
      <c r="I3" s="153"/>
      <c r="J3" s="153"/>
      <c r="K3" s="153"/>
      <c r="L3" s="153"/>
    </row>
    <row r="4" spans="1:24" ht="13.5" customHeight="1">
      <c r="A4" s="229" t="s">
        <v>78</v>
      </c>
      <c r="B4" s="230" t="s">
        <v>79</v>
      </c>
      <c r="C4" s="231"/>
      <c r="D4" s="231"/>
      <c r="E4" s="231"/>
      <c r="F4" s="231"/>
      <c r="G4" s="232"/>
      <c r="H4" s="233" t="s">
        <v>90</v>
      </c>
      <c r="I4" s="233" t="s">
        <v>91</v>
      </c>
      <c r="J4" s="233" t="s">
        <v>92</v>
      </c>
      <c r="K4" s="229" t="s">
        <v>80</v>
      </c>
      <c r="L4" s="227" t="s">
        <v>89</v>
      </c>
    </row>
    <row r="5" spans="1:24" ht="39" customHeight="1">
      <c r="A5" s="228"/>
      <c r="B5" s="163" t="s">
        <v>85</v>
      </c>
      <c r="C5" s="163" t="s">
        <v>86</v>
      </c>
      <c r="D5" s="163" t="s">
        <v>87</v>
      </c>
      <c r="E5" s="163" t="s">
        <v>88</v>
      </c>
      <c r="F5" s="164" t="s">
        <v>81</v>
      </c>
      <c r="G5" s="155" t="s">
        <v>82</v>
      </c>
      <c r="H5" s="228"/>
      <c r="I5" s="228"/>
      <c r="J5" s="228"/>
      <c r="K5" s="228"/>
      <c r="L5" s="228"/>
      <c r="N5" s="156"/>
      <c r="P5" s="154"/>
      <c r="Q5" s="157"/>
      <c r="R5" s="157"/>
      <c r="S5" s="157"/>
      <c r="T5" s="157"/>
      <c r="U5" s="157"/>
      <c r="V5" s="157"/>
      <c r="W5" s="154"/>
      <c r="X5" s="154"/>
    </row>
    <row r="6" spans="1:24" ht="15.75">
      <c r="A6" s="22">
        <v>1975</v>
      </c>
      <c r="B6" s="50">
        <v>43</v>
      </c>
      <c r="C6" s="50"/>
      <c r="D6" s="50"/>
      <c r="E6" s="50">
        <v>43</v>
      </c>
      <c r="F6" s="53">
        <v>40</v>
      </c>
      <c r="G6" s="50">
        <v>3</v>
      </c>
      <c r="H6" s="158"/>
      <c r="I6" s="159"/>
      <c r="J6" s="160"/>
      <c r="K6" s="160"/>
      <c r="L6" s="161"/>
      <c r="O6" s="157"/>
      <c r="P6" s="157"/>
      <c r="Q6" s="157"/>
      <c r="R6" s="157"/>
      <c r="S6" s="157"/>
      <c r="T6" s="157"/>
      <c r="U6" s="157"/>
      <c r="V6" s="157"/>
      <c r="W6" s="157"/>
      <c r="X6" s="157"/>
    </row>
    <row r="7" spans="1:24">
      <c r="A7" s="23">
        <v>1976</v>
      </c>
      <c r="B7" s="25">
        <v>75.599999999999994</v>
      </c>
      <c r="C7" s="25"/>
      <c r="D7" s="25"/>
      <c r="E7" s="25">
        <v>75.599999999999994</v>
      </c>
      <c r="F7" s="54">
        <v>67.7</v>
      </c>
      <c r="G7" s="25">
        <v>7.9</v>
      </c>
      <c r="H7" s="51">
        <v>386.2</v>
      </c>
      <c r="I7" s="25">
        <v>85.2</v>
      </c>
      <c r="J7" s="24">
        <v>559</v>
      </c>
      <c r="K7" s="25">
        <v>19.600000000000001</v>
      </c>
      <c r="L7" s="25">
        <v>65.599999999999994</v>
      </c>
    </row>
    <row r="8" spans="1:24" ht="15" customHeight="1">
      <c r="A8" s="23">
        <v>1977</v>
      </c>
      <c r="B8" s="25">
        <v>99.1</v>
      </c>
      <c r="C8" s="25"/>
      <c r="D8" s="25"/>
      <c r="E8" s="25">
        <v>99.1</v>
      </c>
      <c r="F8" s="54">
        <v>93.4</v>
      </c>
      <c r="G8" s="25">
        <v>5.6</v>
      </c>
      <c r="H8" s="51">
        <v>555.29999999999995</v>
      </c>
      <c r="I8" s="25">
        <v>177.4</v>
      </c>
      <c r="J8" s="24">
        <v>923</v>
      </c>
      <c r="K8" s="25">
        <v>17.8</v>
      </c>
      <c r="L8" s="25">
        <v>52</v>
      </c>
    </row>
    <row r="9" spans="1:24" ht="15" customHeight="1">
      <c r="A9" s="23">
        <v>1978</v>
      </c>
      <c r="B9" s="25">
        <v>114.9</v>
      </c>
      <c r="C9" s="25"/>
      <c r="D9" s="25"/>
      <c r="E9" s="25">
        <v>114.9</v>
      </c>
      <c r="F9" s="54">
        <v>97.5</v>
      </c>
      <c r="G9" s="25">
        <v>17.399999999999999</v>
      </c>
      <c r="H9" s="51">
        <v>744</v>
      </c>
      <c r="I9" s="25">
        <v>262</v>
      </c>
      <c r="J9" s="24">
        <v>942</v>
      </c>
      <c r="K9" s="25">
        <v>15.5</v>
      </c>
      <c r="L9" s="25">
        <v>36</v>
      </c>
    </row>
    <row r="10" spans="1:24" ht="15" customHeight="1">
      <c r="A10" s="23">
        <v>1979</v>
      </c>
      <c r="B10" s="25">
        <v>108.9</v>
      </c>
      <c r="C10" s="25"/>
      <c r="D10" s="25"/>
      <c r="E10" s="25">
        <v>108.9</v>
      </c>
      <c r="F10" s="54">
        <v>93.3</v>
      </c>
      <c r="G10" s="25">
        <v>15.6</v>
      </c>
      <c r="H10" s="51">
        <v>864.7</v>
      </c>
      <c r="I10" s="25">
        <v>421.9</v>
      </c>
      <c r="J10" s="24">
        <v>419</v>
      </c>
      <c r="K10" s="25">
        <v>12.6</v>
      </c>
      <c r="L10" s="25">
        <v>9.9</v>
      </c>
    </row>
    <row r="11" spans="1:24" ht="15" customHeight="1">
      <c r="A11" s="23">
        <v>1980</v>
      </c>
      <c r="B11" s="25">
        <v>144.5</v>
      </c>
      <c r="C11" s="25"/>
      <c r="D11" s="25"/>
      <c r="E11" s="25">
        <v>144.5</v>
      </c>
      <c r="F11" s="54">
        <v>128.6</v>
      </c>
      <c r="G11" s="25">
        <v>15.9</v>
      </c>
      <c r="H11" s="51">
        <v>1336.6</v>
      </c>
      <c r="I11" s="25">
        <v>561.29999999999995</v>
      </c>
      <c r="J11" s="24">
        <v>2930</v>
      </c>
      <c r="K11" s="25">
        <v>10.8</v>
      </c>
      <c r="L11" s="25">
        <v>52.2</v>
      </c>
    </row>
    <row r="12" spans="1:24" ht="15" customHeight="1">
      <c r="A12" s="23">
        <v>1981</v>
      </c>
      <c r="B12" s="25">
        <v>229.6</v>
      </c>
      <c r="C12" s="25"/>
      <c r="D12" s="25"/>
      <c r="E12" s="25">
        <v>229.6</v>
      </c>
      <c r="F12" s="54">
        <v>212.9</v>
      </c>
      <c r="G12" s="25">
        <v>16.7</v>
      </c>
      <c r="H12" s="51">
        <v>1541.5</v>
      </c>
      <c r="I12" s="25">
        <v>532.5</v>
      </c>
      <c r="J12" s="24">
        <v>1978</v>
      </c>
      <c r="K12" s="25">
        <v>14.9</v>
      </c>
      <c r="L12" s="25">
        <v>37.1</v>
      </c>
    </row>
    <row r="13" spans="1:24" ht="15" customHeight="1">
      <c r="A13" s="23">
        <v>1982</v>
      </c>
      <c r="B13" s="25">
        <v>241.9</v>
      </c>
      <c r="C13" s="25"/>
      <c r="D13" s="25"/>
      <c r="E13" s="25">
        <v>241.9</v>
      </c>
      <c r="F13" s="54">
        <v>215.8</v>
      </c>
      <c r="G13" s="25">
        <v>26.1</v>
      </c>
      <c r="H13" s="51">
        <v>1583</v>
      </c>
      <c r="I13" s="25">
        <v>815.8</v>
      </c>
      <c r="J13" s="24">
        <v>1562</v>
      </c>
      <c r="K13" s="25">
        <v>15.3</v>
      </c>
      <c r="L13" s="25">
        <v>19.2</v>
      </c>
    </row>
    <row r="14" spans="1:24" ht="15" customHeight="1">
      <c r="A14" s="23">
        <v>1983</v>
      </c>
      <c r="B14" s="25">
        <v>272.5</v>
      </c>
      <c r="C14" s="25"/>
      <c r="D14" s="25"/>
      <c r="E14" s="25">
        <v>272.5</v>
      </c>
      <c r="F14" s="54">
        <v>253.9</v>
      </c>
      <c r="G14" s="25">
        <v>18.600000000000001</v>
      </c>
      <c r="H14" s="51">
        <v>1515.1</v>
      </c>
      <c r="I14" s="25">
        <v>914</v>
      </c>
      <c r="J14" s="24">
        <v>1802</v>
      </c>
      <c r="K14" s="25">
        <v>18</v>
      </c>
      <c r="L14" s="25">
        <v>19.7</v>
      </c>
    </row>
    <row r="15" spans="1:24" ht="15" customHeight="1">
      <c r="A15" s="23">
        <v>1984</v>
      </c>
      <c r="B15" s="25">
        <v>287</v>
      </c>
      <c r="C15" s="25"/>
      <c r="D15" s="25"/>
      <c r="E15" s="25">
        <v>287</v>
      </c>
      <c r="F15" s="54">
        <v>258.89999999999998</v>
      </c>
      <c r="G15" s="25">
        <v>28.1</v>
      </c>
      <c r="H15" s="51">
        <v>1441.9</v>
      </c>
      <c r="I15" s="25">
        <v>836.8</v>
      </c>
      <c r="J15" s="24">
        <v>2128</v>
      </c>
      <c r="K15" s="25">
        <v>19.899999999999999</v>
      </c>
      <c r="L15" s="25">
        <v>25.4</v>
      </c>
    </row>
    <row r="16" spans="1:24">
      <c r="A16" s="23">
        <v>1985</v>
      </c>
      <c r="B16" s="25">
        <v>264.39999999999998</v>
      </c>
      <c r="C16" s="25"/>
      <c r="D16" s="25"/>
      <c r="E16" s="25">
        <v>264.39999999999998</v>
      </c>
      <c r="F16" s="54">
        <v>239.7</v>
      </c>
      <c r="G16" s="25">
        <v>24.7</v>
      </c>
      <c r="H16" s="51">
        <v>1739.2</v>
      </c>
      <c r="I16" s="25">
        <v>807.9</v>
      </c>
      <c r="J16" s="24">
        <v>2479</v>
      </c>
      <c r="K16" s="25">
        <v>15.2</v>
      </c>
      <c r="L16" s="25">
        <v>30.7</v>
      </c>
    </row>
    <row r="17" spans="1:12">
      <c r="A17" s="23">
        <v>1986</v>
      </c>
      <c r="B17" s="25">
        <v>268.5</v>
      </c>
      <c r="C17" s="25"/>
      <c r="D17" s="25"/>
      <c r="E17" s="25">
        <v>268.5</v>
      </c>
      <c r="F17" s="54">
        <v>247.1</v>
      </c>
      <c r="G17" s="25">
        <v>21.4</v>
      </c>
      <c r="H17" s="51">
        <v>1888.1</v>
      </c>
      <c r="I17" s="25">
        <v>1049.9000000000001</v>
      </c>
      <c r="J17" s="24">
        <v>2600</v>
      </c>
      <c r="K17" s="25">
        <v>14.2</v>
      </c>
      <c r="L17" s="25">
        <v>24.8</v>
      </c>
    </row>
    <row r="18" spans="1:12">
      <c r="A18" s="23">
        <v>1987</v>
      </c>
      <c r="B18" s="25">
        <v>291.60000000000002</v>
      </c>
      <c r="C18" s="25"/>
      <c r="D18" s="25"/>
      <c r="E18" s="25">
        <v>291.60000000000002</v>
      </c>
      <c r="F18" s="54">
        <v>269.60000000000002</v>
      </c>
      <c r="G18" s="25">
        <v>22</v>
      </c>
      <c r="H18" s="51">
        <v>1954.2</v>
      </c>
      <c r="I18" s="25">
        <v>1132.2</v>
      </c>
      <c r="J18" s="24">
        <v>1565</v>
      </c>
      <c r="K18" s="25">
        <v>14.9</v>
      </c>
      <c r="L18" s="25">
        <v>13.8</v>
      </c>
    </row>
    <row r="19" spans="1:12">
      <c r="A19" s="23">
        <v>1988</v>
      </c>
      <c r="B19" s="25">
        <v>283.8</v>
      </c>
      <c r="C19" s="25"/>
      <c r="D19" s="25"/>
      <c r="E19" s="25">
        <v>283.8</v>
      </c>
      <c r="F19" s="54">
        <v>259.3</v>
      </c>
      <c r="G19" s="25">
        <v>24.4</v>
      </c>
      <c r="H19" s="51">
        <v>1777.4</v>
      </c>
      <c r="I19" s="25">
        <v>1335.5</v>
      </c>
      <c r="J19" s="24">
        <v>228</v>
      </c>
      <c r="K19" s="25">
        <v>16</v>
      </c>
      <c r="L19" s="25">
        <v>1.7</v>
      </c>
    </row>
    <row r="20" spans="1:12">
      <c r="A20" s="23">
        <v>1989</v>
      </c>
      <c r="B20" s="25">
        <v>252.4</v>
      </c>
      <c r="C20" s="25"/>
      <c r="D20" s="25"/>
      <c r="E20" s="25">
        <v>252.4</v>
      </c>
      <c r="F20" s="54">
        <v>228</v>
      </c>
      <c r="G20" s="25">
        <v>24.3</v>
      </c>
      <c r="H20" s="51">
        <v>1250.7</v>
      </c>
      <c r="I20" s="25">
        <v>1175.4000000000001</v>
      </c>
      <c r="J20" s="24">
        <v>194</v>
      </c>
      <c r="K20" s="25">
        <v>20.2</v>
      </c>
      <c r="L20" s="25">
        <v>1.7</v>
      </c>
    </row>
    <row r="21" spans="1:12">
      <c r="A21" s="23">
        <v>1990</v>
      </c>
      <c r="B21" s="25">
        <v>216.2</v>
      </c>
      <c r="C21" s="25"/>
      <c r="D21" s="25"/>
      <c r="E21" s="25">
        <v>216.2</v>
      </c>
      <c r="F21" s="54">
        <v>191.6</v>
      </c>
      <c r="G21" s="25">
        <v>24.6</v>
      </c>
      <c r="H21" s="51">
        <v>798.1</v>
      </c>
      <c r="I21" s="25">
        <v>760.9</v>
      </c>
      <c r="J21" s="24">
        <v>69</v>
      </c>
      <c r="K21" s="25">
        <v>27.1</v>
      </c>
      <c r="L21" s="25">
        <v>0.9</v>
      </c>
    </row>
    <row r="22" spans="1:12">
      <c r="A22" s="23">
        <v>1991</v>
      </c>
      <c r="B22" s="25">
        <v>172.4</v>
      </c>
      <c r="C22" s="25"/>
      <c r="D22" s="25"/>
      <c r="E22" s="25">
        <v>172.4</v>
      </c>
      <c r="F22" s="54">
        <v>154.4</v>
      </c>
      <c r="G22" s="25">
        <v>18</v>
      </c>
      <c r="H22" s="51">
        <v>454.6</v>
      </c>
      <c r="I22" s="25">
        <v>444</v>
      </c>
      <c r="J22" s="24">
        <v>53</v>
      </c>
      <c r="K22" s="25">
        <v>37.9</v>
      </c>
      <c r="L22" s="25">
        <v>1.2</v>
      </c>
    </row>
    <row r="23" spans="1:12">
      <c r="A23" s="23">
        <v>1992</v>
      </c>
      <c r="B23" s="25">
        <v>124</v>
      </c>
      <c r="C23" s="25"/>
      <c r="D23" s="25"/>
      <c r="E23" s="25">
        <v>124</v>
      </c>
      <c r="F23" s="54">
        <v>108.9</v>
      </c>
      <c r="G23" s="25">
        <v>15.2</v>
      </c>
      <c r="H23" s="51">
        <v>246.5</v>
      </c>
      <c r="I23" s="25">
        <v>181.9</v>
      </c>
      <c r="J23" s="24">
        <v>273</v>
      </c>
      <c r="K23" s="25">
        <v>50.3</v>
      </c>
      <c r="L23" s="25">
        <v>15</v>
      </c>
    </row>
    <row r="24" spans="1:12">
      <c r="A24" s="23">
        <v>1993</v>
      </c>
      <c r="B24" s="25">
        <v>79.099999999999994</v>
      </c>
      <c r="C24" s="25"/>
      <c r="D24" s="25"/>
      <c r="E24" s="25">
        <v>79.099999999999994</v>
      </c>
      <c r="F24" s="54">
        <v>67.5</v>
      </c>
      <c r="G24" s="25">
        <v>11.6</v>
      </c>
      <c r="H24" s="51">
        <v>146.69999999999999</v>
      </c>
      <c r="I24" s="25">
        <v>56.9</v>
      </c>
      <c r="J24" s="24">
        <v>121</v>
      </c>
      <c r="K24" s="25">
        <v>53.9</v>
      </c>
      <c r="L24" s="25">
        <v>21.3</v>
      </c>
    </row>
    <row r="25" spans="1:12">
      <c r="A25" s="23">
        <v>1994</v>
      </c>
      <c r="B25" s="25">
        <v>42.5</v>
      </c>
      <c r="C25" s="25"/>
      <c r="D25" s="25"/>
      <c r="E25" s="25">
        <v>42.5</v>
      </c>
      <c r="F25" s="54">
        <v>35.700000000000003</v>
      </c>
      <c r="G25" s="25">
        <v>6.8</v>
      </c>
      <c r="H25" s="51">
        <v>87.9</v>
      </c>
      <c r="I25" s="25">
        <v>48.7</v>
      </c>
      <c r="J25" s="24">
        <v>119</v>
      </c>
      <c r="K25" s="25">
        <v>48.3</v>
      </c>
      <c r="L25" s="25">
        <v>24.4</v>
      </c>
    </row>
    <row r="26" spans="1:12">
      <c r="A26" s="23">
        <v>1995</v>
      </c>
      <c r="B26" s="25">
        <v>33.200000000000003</v>
      </c>
      <c r="C26" s="25"/>
      <c r="D26" s="25"/>
      <c r="E26" s="25">
        <v>33.200000000000003</v>
      </c>
      <c r="F26" s="54">
        <v>27.7</v>
      </c>
      <c r="G26" s="25">
        <v>5.5</v>
      </c>
      <c r="H26" s="51">
        <v>75.599999999999994</v>
      </c>
      <c r="I26" s="25">
        <v>31</v>
      </c>
      <c r="J26" s="24">
        <v>73</v>
      </c>
      <c r="K26" s="25">
        <v>43.9</v>
      </c>
      <c r="L26" s="25">
        <v>23.6</v>
      </c>
    </row>
    <row r="27" spans="1:12">
      <c r="A27" s="23">
        <v>1996</v>
      </c>
      <c r="B27" s="25">
        <v>18.100000000000001</v>
      </c>
      <c r="C27" s="25"/>
      <c r="D27" s="25"/>
      <c r="E27" s="25">
        <v>18.100000000000001</v>
      </c>
      <c r="F27" s="54">
        <v>15</v>
      </c>
      <c r="G27" s="25">
        <v>3.1</v>
      </c>
      <c r="H27" s="51">
        <v>80.5</v>
      </c>
      <c r="I27" s="25">
        <v>22.1</v>
      </c>
      <c r="J27" s="24">
        <v>134</v>
      </c>
      <c r="K27" s="25">
        <v>22.5</v>
      </c>
      <c r="L27" s="25">
        <v>60.7</v>
      </c>
    </row>
    <row r="28" spans="1:12">
      <c r="A28" s="23">
        <v>1997</v>
      </c>
      <c r="B28" s="25">
        <v>25.5</v>
      </c>
      <c r="C28" s="25"/>
      <c r="D28" s="25"/>
      <c r="E28" s="25">
        <v>25.5</v>
      </c>
      <c r="F28" s="54">
        <v>22.8</v>
      </c>
      <c r="G28" s="25">
        <v>2.7</v>
      </c>
      <c r="H28" s="51">
        <v>91.6</v>
      </c>
      <c r="I28" s="25">
        <v>36</v>
      </c>
      <c r="J28" s="24">
        <v>78</v>
      </c>
      <c r="K28" s="25">
        <v>27.9</v>
      </c>
      <c r="L28" s="25">
        <v>21.6</v>
      </c>
    </row>
    <row r="29" spans="1:12">
      <c r="A29" s="23">
        <v>1998</v>
      </c>
      <c r="B29" s="25">
        <v>14.2</v>
      </c>
      <c r="C29" s="25"/>
      <c r="D29" s="25"/>
      <c r="E29" s="25">
        <v>14.2</v>
      </c>
      <c r="F29" s="54">
        <v>12.4</v>
      </c>
      <c r="G29" s="25">
        <v>1.8</v>
      </c>
      <c r="H29" s="51">
        <v>72.7</v>
      </c>
      <c r="I29" s="25">
        <v>42.9</v>
      </c>
      <c r="J29" s="24">
        <v>74</v>
      </c>
      <c r="K29" s="25">
        <v>19.5</v>
      </c>
      <c r="L29" s="25">
        <v>17.2</v>
      </c>
    </row>
    <row r="30" spans="1:12">
      <c r="A30" s="23">
        <v>1999</v>
      </c>
      <c r="B30" s="25">
        <v>30.8</v>
      </c>
      <c r="C30" s="25"/>
      <c r="D30" s="25"/>
      <c r="E30" s="25">
        <v>30.8</v>
      </c>
      <c r="F30" s="54">
        <v>28.1</v>
      </c>
      <c r="G30" s="25">
        <v>2.7</v>
      </c>
      <c r="H30" s="51">
        <v>70.099999999999994</v>
      </c>
      <c r="I30" s="25">
        <v>47.3</v>
      </c>
      <c r="J30" s="24">
        <v>26</v>
      </c>
      <c r="K30" s="25">
        <v>43.9</v>
      </c>
      <c r="L30" s="25">
        <v>5.4</v>
      </c>
    </row>
    <row r="31" spans="1:12">
      <c r="A31" s="23">
        <v>2000</v>
      </c>
      <c r="B31" s="25">
        <v>13.9</v>
      </c>
      <c r="C31" s="25"/>
      <c r="D31" s="25"/>
      <c r="E31" s="25">
        <v>13.9</v>
      </c>
      <c r="F31" s="54">
        <v>12.2</v>
      </c>
      <c r="G31" s="25">
        <v>1.7</v>
      </c>
      <c r="H31" s="51">
        <v>41.1</v>
      </c>
      <c r="I31" s="25">
        <v>23.1</v>
      </c>
      <c r="J31" s="24">
        <v>48</v>
      </c>
      <c r="K31" s="25">
        <v>33.799999999999997</v>
      </c>
      <c r="L31" s="25">
        <v>21</v>
      </c>
    </row>
    <row r="32" spans="1:12">
      <c r="A32" s="23">
        <v>2001</v>
      </c>
      <c r="B32" s="25">
        <v>17.7</v>
      </c>
      <c r="C32" s="25"/>
      <c r="D32" s="25"/>
      <c r="E32" s="25">
        <v>17.7</v>
      </c>
      <c r="F32" s="54">
        <v>16.2</v>
      </c>
      <c r="G32" s="25">
        <v>1.5</v>
      </c>
      <c r="H32" s="51">
        <v>30.5</v>
      </c>
      <c r="I32" s="25">
        <v>19.899999999999999</v>
      </c>
      <c r="J32" s="24">
        <v>25</v>
      </c>
      <c r="K32" s="25">
        <v>57.9</v>
      </c>
      <c r="L32" s="25">
        <v>12.4</v>
      </c>
    </row>
    <row r="33" spans="1:13">
      <c r="A33" s="23">
        <v>2002</v>
      </c>
      <c r="B33" s="25">
        <v>4.9000000000000004</v>
      </c>
      <c r="C33" s="25"/>
      <c r="D33" s="25"/>
      <c r="E33" s="25">
        <v>4.9000000000000004</v>
      </c>
      <c r="F33" s="54">
        <v>4.3</v>
      </c>
      <c r="G33" s="25">
        <v>0.6</v>
      </c>
      <c r="H33" s="51">
        <v>15.7</v>
      </c>
      <c r="I33" s="25">
        <v>8.6999999999999993</v>
      </c>
      <c r="J33" s="24">
        <v>12</v>
      </c>
      <c r="K33" s="25">
        <v>31.1</v>
      </c>
      <c r="L33" s="25">
        <v>14.1</v>
      </c>
    </row>
    <row r="34" spans="1:13">
      <c r="A34" s="23">
        <v>2003</v>
      </c>
      <c r="B34" s="25">
        <v>5.0999999999999996</v>
      </c>
      <c r="C34" s="25"/>
      <c r="D34" s="25"/>
      <c r="E34" s="25">
        <v>5.0999999999999996</v>
      </c>
      <c r="F34" s="54">
        <v>4.5999999999999996</v>
      </c>
      <c r="G34" s="25">
        <v>0.5</v>
      </c>
      <c r="H34" s="51">
        <v>12.1</v>
      </c>
      <c r="I34" s="25">
        <v>7.5</v>
      </c>
      <c r="J34" s="24">
        <v>11</v>
      </c>
      <c r="K34" s="25">
        <v>42</v>
      </c>
      <c r="L34" s="25">
        <v>15</v>
      </c>
    </row>
    <row r="35" spans="1:13">
      <c r="A35" s="23">
        <v>2004</v>
      </c>
      <c r="B35" s="25">
        <v>4.8</v>
      </c>
      <c r="C35" s="25"/>
      <c r="D35" s="25"/>
      <c r="E35" s="25">
        <v>4.8</v>
      </c>
      <c r="F35" s="54">
        <v>4.0999999999999996</v>
      </c>
      <c r="G35" s="25">
        <v>0.7</v>
      </c>
      <c r="H35" s="51">
        <v>10.9</v>
      </c>
      <c r="I35" s="25">
        <v>6.3</v>
      </c>
      <c r="J35" s="24">
        <v>9</v>
      </c>
      <c r="K35" s="25">
        <v>44.1</v>
      </c>
      <c r="L35" s="25">
        <v>14.3</v>
      </c>
    </row>
    <row r="36" spans="1:13">
      <c r="A36" s="23">
        <v>2005</v>
      </c>
      <c r="B36" s="25">
        <v>2.5</v>
      </c>
      <c r="C36" s="25"/>
      <c r="D36" s="25"/>
      <c r="E36" s="25">
        <v>2.5</v>
      </c>
      <c r="F36" s="54">
        <v>1.6</v>
      </c>
      <c r="G36" s="25">
        <v>0.9</v>
      </c>
      <c r="H36" s="51">
        <v>8.6999999999999993</v>
      </c>
      <c r="I36" s="25">
        <v>3.5</v>
      </c>
      <c r="J36" s="24">
        <v>19</v>
      </c>
      <c r="K36" s="25">
        <v>28.7</v>
      </c>
      <c r="L36" s="25">
        <v>55.4</v>
      </c>
    </row>
    <row r="37" spans="1:13">
      <c r="A37" s="23">
        <v>2006</v>
      </c>
      <c r="B37" s="25">
        <v>4.9000000000000004</v>
      </c>
      <c r="C37" s="25"/>
      <c r="D37" s="25"/>
      <c r="E37" s="25">
        <v>4.9000000000000004</v>
      </c>
      <c r="F37" s="54">
        <v>4</v>
      </c>
      <c r="G37" s="25">
        <v>1</v>
      </c>
      <c r="H37" s="51">
        <v>13.1</v>
      </c>
      <c r="I37" s="25">
        <v>6.2</v>
      </c>
      <c r="J37" s="24">
        <v>12</v>
      </c>
      <c r="K37" s="25">
        <v>37.5</v>
      </c>
      <c r="L37" s="25">
        <v>20.100000000000001</v>
      </c>
    </row>
    <row r="38" spans="1:13">
      <c r="A38" s="23">
        <v>2007</v>
      </c>
      <c r="B38" s="25">
        <v>6.5</v>
      </c>
      <c r="C38" s="25"/>
      <c r="D38" s="25"/>
      <c r="E38" s="25">
        <v>6.5</v>
      </c>
      <c r="F38" s="54">
        <v>4.2</v>
      </c>
      <c r="G38" s="25">
        <v>2.2999999999999998</v>
      </c>
      <c r="H38" s="51">
        <v>11.2</v>
      </c>
      <c r="I38" s="25">
        <v>5.6</v>
      </c>
      <c r="J38" s="24">
        <v>14</v>
      </c>
      <c r="K38" s="25">
        <v>57.9</v>
      </c>
      <c r="L38" s="25">
        <v>25.4</v>
      </c>
    </row>
    <row r="39" spans="1:13">
      <c r="A39" s="23">
        <v>2008</v>
      </c>
      <c r="B39" s="25">
        <v>2.7</v>
      </c>
      <c r="C39" s="25"/>
      <c r="D39" s="25"/>
      <c r="E39" s="25">
        <v>2.7</v>
      </c>
      <c r="F39" s="54">
        <v>1.8</v>
      </c>
      <c r="G39" s="25">
        <v>0.9</v>
      </c>
      <c r="H39" s="51">
        <v>9.9</v>
      </c>
      <c r="I39" s="25">
        <v>2.8</v>
      </c>
      <c r="J39" s="24">
        <v>24</v>
      </c>
      <c r="K39" s="25">
        <v>27.3</v>
      </c>
      <c r="L39" s="25">
        <v>87.4</v>
      </c>
    </row>
    <row r="40" spans="1:13">
      <c r="A40" s="23">
        <v>2009</v>
      </c>
      <c r="B40" s="25">
        <v>4.9000000000000004</v>
      </c>
      <c r="C40" s="25"/>
      <c r="D40" s="25"/>
      <c r="E40" s="25">
        <v>4.9000000000000004</v>
      </c>
      <c r="F40" s="54">
        <v>4.5999999999999996</v>
      </c>
      <c r="G40" s="25">
        <v>0.3</v>
      </c>
      <c r="H40" s="51">
        <v>12.8</v>
      </c>
      <c r="I40" s="25">
        <v>5.8</v>
      </c>
      <c r="J40" s="24">
        <v>13</v>
      </c>
      <c r="K40" s="25">
        <v>38.4</v>
      </c>
      <c r="L40" s="25">
        <v>22.2</v>
      </c>
    </row>
    <row r="41" spans="1:13">
      <c r="A41" s="23">
        <v>2010</v>
      </c>
      <c r="B41" s="25">
        <v>6.5</v>
      </c>
      <c r="C41" s="25"/>
      <c r="D41" s="25"/>
      <c r="E41" s="25">
        <v>6.5</v>
      </c>
      <c r="F41" s="54">
        <v>6.2</v>
      </c>
      <c r="G41" s="25">
        <v>0.3</v>
      </c>
      <c r="H41" s="51">
        <v>30.7</v>
      </c>
      <c r="I41" s="25">
        <v>7.5</v>
      </c>
      <c r="J41" s="24">
        <v>68</v>
      </c>
      <c r="K41" s="25">
        <v>21.1</v>
      </c>
      <c r="L41" s="25">
        <v>90.9</v>
      </c>
    </row>
    <row r="42" spans="1:13">
      <c r="A42" s="23">
        <v>2011</v>
      </c>
      <c r="B42" s="25">
        <v>13.2</v>
      </c>
      <c r="C42" s="25"/>
      <c r="D42" s="25"/>
      <c r="E42" s="25">
        <v>13.2</v>
      </c>
      <c r="F42" s="54">
        <v>12.2</v>
      </c>
      <c r="G42" s="25">
        <v>1</v>
      </c>
      <c r="H42" s="51">
        <v>44.3</v>
      </c>
      <c r="I42" s="25">
        <v>14.9</v>
      </c>
      <c r="J42" s="24">
        <v>57</v>
      </c>
      <c r="K42" s="25">
        <v>29.7</v>
      </c>
      <c r="L42" s="25">
        <v>38.4</v>
      </c>
    </row>
    <row r="43" spans="1:13">
      <c r="A43" s="23">
        <v>2012</v>
      </c>
      <c r="B43" s="25">
        <v>10.199999999999999</v>
      </c>
      <c r="C43" s="25"/>
      <c r="D43" s="25"/>
      <c r="E43" s="25">
        <v>10.199999999999999</v>
      </c>
      <c r="F43" s="54">
        <v>9.1999999999999993</v>
      </c>
      <c r="G43" s="25">
        <v>0.9</v>
      </c>
      <c r="H43" s="51">
        <v>49.2</v>
      </c>
      <c r="I43" s="25">
        <v>23.2</v>
      </c>
      <c r="J43" s="24">
        <v>65</v>
      </c>
      <c r="K43" s="25">
        <v>20.6</v>
      </c>
      <c r="L43" s="25">
        <v>28.1</v>
      </c>
    </row>
    <row r="44" spans="1:13">
      <c r="A44" s="23">
        <v>2013</v>
      </c>
      <c r="B44" s="25">
        <v>13</v>
      </c>
      <c r="C44" s="25"/>
      <c r="D44" s="25"/>
      <c r="E44" s="25">
        <v>13</v>
      </c>
      <c r="F44" s="54">
        <v>12.4</v>
      </c>
      <c r="G44" s="25">
        <v>0.6</v>
      </c>
      <c r="H44" s="51">
        <v>59.3</v>
      </c>
      <c r="I44" s="25">
        <v>32.1</v>
      </c>
      <c r="J44" s="24">
        <v>73</v>
      </c>
      <c r="K44" s="25">
        <v>21.8</v>
      </c>
      <c r="L44" s="25">
        <v>22.8</v>
      </c>
    </row>
    <row r="45" spans="1:13">
      <c r="A45" s="23">
        <v>2014</v>
      </c>
      <c r="B45" s="25">
        <v>18.600000000000001</v>
      </c>
      <c r="C45" s="25">
        <v>0</v>
      </c>
      <c r="D45" s="25"/>
      <c r="E45" s="25">
        <v>18.600000000000001</v>
      </c>
      <c r="F45" s="54">
        <v>17.2</v>
      </c>
      <c r="G45" s="25">
        <v>1.4</v>
      </c>
      <c r="H45" s="51">
        <v>101</v>
      </c>
      <c r="I45" s="25">
        <v>40.6</v>
      </c>
      <c r="J45" s="24">
        <v>202</v>
      </c>
      <c r="K45" s="25">
        <v>18.399999999999999</v>
      </c>
      <c r="L45" s="25">
        <v>49.8</v>
      </c>
      <c r="M45" s="162"/>
    </row>
    <row r="46" spans="1:13">
      <c r="A46" s="23">
        <v>2015</v>
      </c>
      <c r="B46" s="25">
        <v>27.1</v>
      </c>
      <c r="C46" s="25">
        <v>0</v>
      </c>
      <c r="D46" s="25"/>
      <c r="E46" s="25">
        <v>27</v>
      </c>
      <c r="F46" s="54">
        <v>17.5</v>
      </c>
      <c r="G46" s="25">
        <v>9.5</v>
      </c>
      <c r="H46" s="25">
        <v>128.19999999999999</v>
      </c>
      <c r="I46" s="25">
        <v>63.6</v>
      </c>
      <c r="J46" s="24">
        <v>222</v>
      </c>
      <c r="K46" s="25">
        <v>21.1</v>
      </c>
      <c r="L46" s="25">
        <v>34.9</v>
      </c>
    </row>
    <row r="47" spans="1:13">
      <c r="A47" s="26">
        <v>2016</v>
      </c>
      <c r="B47" s="25">
        <v>32.700000000000003</v>
      </c>
      <c r="C47" s="25">
        <v>0.7</v>
      </c>
      <c r="D47" s="25"/>
      <c r="E47" s="25">
        <v>32</v>
      </c>
      <c r="F47" s="51">
        <v>28.1</v>
      </c>
      <c r="G47" s="25">
        <v>3.9</v>
      </c>
      <c r="H47" s="25">
        <v>168.6</v>
      </c>
      <c r="I47" s="25">
        <v>77.2</v>
      </c>
      <c r="J47" s="24">
        <v>241</v>
      </c>
      <c r="K47" s="25">
        <v>19.399999999999999</v>
      </c>
      <c r="L47" s="25">
        <v>31.2</v>
      </c>
    </row>
    <row r="48" spans="1:13">
      <c r="A48" s="26">
        <v>2017</v>
      </c>
      <c r="B48" s="25">
        <v>47</v>
      </c>
      <c r="C48" s="25">
        <v>1.7</v>
      </c>
      <c r="D48" s="25">
        <v>1</v>
      </c>
      <c r="E48" s="25">
        <v>44.4</v>
      </c>
      <c r="F48" s="51">
        <v>42.1</v>
      </c>
      <c r="G48" s="25">
        <v>2.2999999999999998</v>
      </c>
      <c r="H48" s="25">
        <v>223.2</v>
      </c>
      <c r="I48" s="25">
        <v>107.5</v>
      </c>
      <c r="J48" s="24">
        <v>450</v>
      </c>
      <c r="K48" s="25">
        <v>21.1</v>
      </c>
      <c r="L48" s="25">
        <v>41.8</v>
      </c>
    </row>
    <row r="49" spans="1:12">
      <c r="A49" s="23">
        <v>2018</v>
      </c>
      <c r="B49" s="25">
        <v>54.3</v>
      </c>
      <c r="C49" s="25">
        <v>6.3</v>
      </c>
      <c r="D49" s="25">
        <v>2.6</v>
      </c>
      <c r="E49" s="25">
        <v>45.3</v>
      </c>
      <c r="F49" s="51">
        <v>43.2</v>
      </c>
      <c r="G49" s="25">
        <v>2.2000000000000002</v>
      </c>
      <c r="H49" s="25">
        <v>333</v>
      </c>
      <c r="I49" s="25">
        <v>114.3</v>
      </c>
      <c r="J49" s="24">
        <v>804</v>
      </c>
      <c r="K49" s="25">
        <v>16.3</v>
      </c>
      <c r="L49" s="25">
        <v>70.400000000000006</v>
      </c>
    </row>
    <row r="50" spans="1:12">
      <c r="A50" s="23">
        <v>2019</v>
      </c>
      <c r="B50" s="25">
        <v>72.599999999999994</v>
      </c>
      <c r="C50" s="25">
        <v>13.3</v>
      </c>
      <c r="D50" s="25">
        <v>4.5999999999999996</v>
      </c>
      <c r="E50" s="25">
        <v>54.7</v>
      </c>
      <c r="F50" s="54">
        <v>52</v>
      </c>
      <c r="G50" s="25">
        <v>2.6</v>
      </c>
      <c r="H50" s="51">
        <v>422.4</v>
      </c>
      <c r="I50" s="25">
        <v>163.69999999999999</v>
      </c>
      <c r="J50" s="24">
        <v>665</v>
      </c>
      <c r="K50" s="25">
        <v>17.2</v>
      </c>
      <c r="L50" s="25">
        <v>40.6</v>
      </c>
    </row>
    <row r="51" spans="1:12">
      <c r="A51" s="23">
        <v>2020</v>
      </c>
      <c r="B51" s="25">
        <v>103.4</v>
      </c>
      <c r="C51" s="25">
        <v>31.5</v>
      </c>
      <c r="D51" s="25">
        <v>9.3000000000000007</v>
      </c>
      <c r="E51" s="25">
        <v>62.6</v>
      </c>
      <c r="F51" s="54">
        <v>55.4</v>
      </c>
      <c r="G51" s="25">
        <v>7.1</v>
      </c>
      <c r="H51" s="51">
        <v>516.9</v>
      </c>
      <c r="I51" s="25">
        <v>228.9</v>
      </c>
      <c r="J51" s="24">
        <v>978</v>
      </c>
      <c r="K51" s="25">
        <v>20</v>
      </c>
      <c r="L51" s="25">
        <v>42.7</v>
      </c>
    </row>
    <row r="52" spans="1:12">
      <c r="A52" s="23">
        <v>2021</v>
      </c>
      <c r="B52" s="25">
        <v>107.8</v>
      </c>
      <c r="C52" s="25">
        <v>25.6</v>
      </c>
      <c r="D52" s="25">
        <v>23.7</v>
      </c>
      <c r="E52" s="25">
        <v>58.5</v>
      </c>
      <c r="F52" s="54">
        <v>54.2</v>
      </c>
      <c r="G52" s="25">
        <v>4.3</v>
      </c>
      <c r="H52" s="51">
        <v>526.6</v>
      </c>
      <c r="I52" s="25">
        <v>244.5</v>
      </c>
      <c r="J52" s="24">
        <v>752</v>
      </c>
      <c r="K52" s="25">
        <v>20.5</v>
      </c>
      <c r="L52" s="25">
        <v>30.8</v>
      </c>
    </row>
    <row r="53" spans="1:12">
      <c r="A53" s="23">
        <v>2022</v>
      </c>
      <c r="B53" s="25">
        <v>112.5</v>
      </c>
      <c r="C53" s="25">
        <v>28.8</v>
      </c>
      <c r="D53" s="25">
        <v>26.7</v>
      </c>
      <c r="E53" s="25">
        <v>57</v>
      </c>
      <c r="F53" s="54">
        <v>55.1</v>
      </c>
      <c r="G53" s="25">
        <v>2</v>
      </c>
      <c r="H53" s="51">
        <v>492.2</v>
      </c>
      <c r="I53" s="25">
        <v>277.2</v>
      </c>
      <c r="J53" s="24">
        <v>606</v>
      </c>
      <c r="K53" s="25">
        <v>22.9</v>
      </c>
      <c r="L53" s="25">
        <v>21.9</v>
      </c>
    </row>
    <row r="54" spans="1:12">
      <c r="A54" s="27">
        <v>2023</v>
      </c>
      <c r="B54" s="29">
        <v>135.4</v>
      </c>
      <c r="C54" s="29">
        <v>54.4</v>
      </c>
      <c r="D54" s="29">
        <v>23.3</v>
      </c>
      <c r="E54" s="29">
        <v>57.7</v>
      </c>
      <c r="F54" s="55">
        <v>56</v>
      </c>
      <c r="G54" s="29">
        <v>1.7</v>
      </c>
      <c r="H54" s="52">
        <v>426.4</v>
      </c>
      <c r="I54" s="29">
        <v>279.10000000000002</v>
      </c>
      <c r="J54" s="28">
        <v>351</v>
      </c>
      <c r="K54" s="29">
        <v>31.8</v>
      </c>
      <c r="L54" s="29">
        <v>12.6</v>
      </c>
    </row>
  </sheetData>
  <mergeCells count="7">
    <mergeCell ref="L4:L5"/>
    <mergeCell ref="A4:A5"/>
    <mergeCell ref="B4:G4"/>
    <mergeCell ref="H4:H5"/>
    <mergeCell ref="I4:I5"/>
    <mergeCell ref="J4:J5"/>
    <mergeCell ref="K4:K5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5328-C690-4F57-AAF1-D5F3DFECE6C7}">
  <dimension ref="A1:M39"/>
  <sheetViews>
    <sheetView zoomScale="80" zoomScaleNormal="80" workbookViewId="0"/>
  </sheetViews>
  <sheetFormatPr defaultRowHeight="15"/>
  <cols>
    <col min="1" max="16384" width="9" style="152"/>
  </cols>
  <sheetData>
    <row r="1" spans="1:13">
      <c r="A1" s="152" t="s">
        <v>93</v>
      </c>
    </row>
    <row r="3" spans="1:13">
      <c r="A3" s="152" t="s">
        <v>94</v>
      </c>
    </row>
    <row r="4" spans="1:13">
      <c r="A4" s="111" t="s">
        <v>5</v>
      </c>
      <c r="B4" s="112">
        <v>2024</v>
      </c>
      <c r="C4" s="113">
        <v>2025</v>
      </c>
      <c r="D4" s="112">
        <v>2026</v>
      </c>
      <c r="E4" s="112">
        <v>2027</v>
      </c>
      <c r="F4" s="112">
        <v>2028</v>
      </c>
      <c r="G4" s="112">
        <v>2029</v>
      </c>
      <c r="H4" s="112">
        <v>2030</v>
      </c>
      <c r="I4" s="112">
        <v>2031</v>
      </c>
      <c r="J4" s="112">
        <v>2032</v>
      </c>
      <c r="K4" s="112">
        <v>2033</v>
      </c>
      <c r="L4" s="112">
        <v>2034</v>
      </c>
      <c r="M4" s="112">
        <v>2035</v>
      </c>
    </row>
    <row r="5" spans="1:13">
      <c r="A5" s="114">
        <v>1</v>
      </c>
      <c r="B5" s="234">
        <v>100</v>
      </c>
      <c r="C5" s="234">
        <v>100</v>
      </c>
      <c r="D5" s="116">
        <v>100</v>
      </c>
      <c r="E5" s="116">
        <v>100</v>
      </c>
      <c r="F5" s="116">
        <v>100</v>
      </c>
      <c r="G5" s="116">
        <v>100</v>
      </c>
      <c r="H5" s="116">
        <v>100</v>
      </c>
      <c r="I5" s="116">
        <v>100</v>
      </c>
      <c r="J5" s="116">
        <v>100</v>
      </c>
      <c r="K5" s="116">
        <v>99</v>
      </c>
      <c r="L5" s="116">
        <v>98</v>
      </c>
      <c r="M5" s="116">
        <v>97</v>
      </c>
    </row>
    <row r="6" spans="1:13">
      <c r="A6" s="117">
        <v>0.9</v>
      </c>
      <c r="B6" s="235"/>
      <c r="C6" s="235"/>
      <c r="D6" s="115">
        <v>100</v>
      </c>
      <c r="E6" s="115">
        <v>100</v>
      </c>
      <c r="F6" s="115">
        <v>100</v>
      </c>
      <c r="G6" s="115">
        <v>100</v>
      </c>
      <c r="H6" s="115">
        <v>100</v>
      </c>
      <c r="I6" s="115">
        <v>100</v>
      </c>
      <c r="J6" s="115">
        <v>100</v>
      </c>
      <c r="K6" s="115">
        <v>100</v>
      </c>
      <c r="L6" s="115">
        <v>99</v>
      </c>
      <c r="M6" s="115">
        <v>99</v>
      </c>
    </row>
    <row r="7" spans="1:13">
      <c r="A7" s="118">
        <v>0.85</v>
      </c>
      <c r="B7" s="235"/>
      <c r="C7" s="235"/>
      <c r="D7" s="115">
        <v>100</v>
      </c>
      <c r="E7" s="115">
        <v>100</v>
      </c>
      <c r="F7" s="115">
        <v>100</v>
      </c>
      <c r="G7" s="115">
        <v>100</v>
      </c>
      <c r="H7" s="115">
        <v>100</v>
      </c>
      <c r="I7" s="115">
        <v>100</v>
      </c>
      <c r="J7" s="115">
        <v>100</v>
      </c>
      <c r="K7" s="115">
        <v>100</v>
      </c>
      <c r="L7" s="115">
        <v>100</v>
      </c>
      <c r="M7" s="115">
        <v>99</v>
      </c>
    </row>
    <row r="8" spans="1:13">
      <c r="A8" s="114">
        <v>0.8</v>
      </c>
      <c r="B8" s="235"/>
      <c r="C8" s="235"/>
      <c r="D8" s="116">
        <v>100</v>
      </c>
      <c r="E8" s="116">
        <v>100</v>
      </c>
      <c r="F8" s="116">
        <v>100</v>
      </c>
      <c r="G8" s="116">
        <v>100</v>
      </c>
      <c r="H8" s="116">
        <v>100</v>
      </c>
      <c r="I8" s="116">
        <v>100</v>
      </c>
      <c r="J8" s="116">
        <v>100</v>
      </c>
      <c r="K8" s="116">
        <v>100</v>
      </c>
      <c r="L8" s="116">
        <v>100</v>
      </c>
      <c r="M8" s="116">
        <v>100</v>
      </c>
    </row>
    <row r="9" spans="1:13">
      <c r="A9" s="117">
        <v>0.7</v>
      </c>
      <c r="B9" s="235"/>
      <c r="C9" s="235"/>
      <c r="D9" s="119">
        <v>100</v>
      </c>
      <c r="E9" s="119">
        <v>100</v>
      </c>
      <c r="F9" s="119">
        <v>100</v>
      </c>
      <c r="G9" s="119">
        <v>100</v>
      </c>
      <c r="H9" s="119">
        <v>100</v>
      </c>
      <c r="I9" s="119">
        <v>100</v>
      </c>
      <c r="J9" s="119">
        <v>100</v>
      </c>
      <c r="K9" s="119">
        <v>100</v>
      </c>
      <c r="L9" s="119">
        <v>100</v>
      </c>
      <c r="M9" s="119">
        <v>100</v>
      </c>
    </row>
    <row r="10" spans="1:13">
      <c r="A10" s="117">
        <v>0.6</v>
      </c>
      <c r="B10" s="235"/>
      <c r="C10" s="235"/>
      <c r="D10" s="116">
        <v>100</v>
      </c>
      <c r="E10" s="116">
        <v>100</v>
      </c>
      <c r="F10" s="116">
        <v>100</v>
      </c>
      <c r="G10" s="116">
        <v>100</v>
      </c>
      <c r="H10" s="116">
        <v>100</v>
      </c>
      <c r="I10" s="116">
        <v>100</v>
      </c>
      <c r="J10" s="116">
        <v>100</v>
      </c>
      <c r="K10" s="116">
        <v>100</v>
      </c>
      <c r="L10" s="116">
        <v>100</v>
      </c>
      <c r="M10" s="116">
        <v>100</v>
      </c>
    </row>
    <row r="11" spans="1:13">
      <c r="A11" s="117">
        <v>0.5</v>
      </c>
      <c r="B11" s="235"/>
      <c r="C11" s="235"/>
      <c r="D11" s="116">
        <v>100</v>
      </c>
      <c r="E11" s="116">
        <v>100</v>
      </c>
      <c r="F11" s="116">
        <v>100</v>
      </c>
      <c r="G11" s="116">
        <v>100</v>
      </c>
      <c r="H11" s="116">
        <v>100</v>
      </c>
      <c r="I11" s="116">
        <v>100</v>
      </c>
      <c r="J11" s="116">
        <v>100</v>
      </c>
      <c r="K11" s="116">
        <v>100</v>
      </c>
      <c r="L11" s="116">
        <v>100</v>
      </c>
      <c r="M11" s="116">
        <v>100</v>
      </c>
    </row>
    <row r="12" spans="1:13">
      <c r="A12" s="117">
        <v>0.4</v>
      </c>
      <c r="B12" s="235"/>
      <c r="C12" s="235"/>
      <c r="D12" s="116">
        <v>100</v>
      </c>
      <c r="E12" s="116">
        <v>100</v>
      </c>
      <c r="F12" s="116">
        <v>100</v>
      </c>
      <c r="G12" s="116">
        <v>100</v>
      </c>
      <c r="H12" s="116">
        <v>100</v>
      </c>
      <c r="I12" s="116">
        <v>100</v>
      </c>
      <c r="J12" s="116">
        <v>100</v>
      </c>
      <c r="K12" s="116">
        <v>100</v>
      </c>
      <c r="L12" s="116">
        <v>100</v>
      </c>
      <c r="M12" s="116">
        <v>100</v>
      </c>
    </row>
    <row r="13" spans="1:13">
      <c r="A13" s="117">
        <v>0.3</v>
      </c>
      <c r="B13" s="235"/>
      <c r="C13" s="235"/>
      <c r="D13" s="116">
        <v>100</v>
      </c>
      <c r="E13" s="116">
        <v>100</v>
      </c>
      <c r="F13" s="116">
        <v>100</v>
      </c>
      <c r="G13" s="116">
        <v>100</v>
      </c>
      <c r="H13" s="116">
        <v>100</v>
      </c>
      <c r="I13" s="116">
        <v>100</v>
      </c>
      <c r="J13" s="116">
        <v>100</v>
      </c>
      <c r="K13" s="116">
        <v>100</v>
      </c>
      <c r="L13" s="116">
        <v>100</v>
      </c>
      <c r="M13" s="116">
        <v>100</v>
      </c>
    </row>
    <row r="14" spans="1:13">
      <c r="A14" s="117">
        <v>0.2</v>
      </c>
      <c r="B14" s="235"/>
      <c r="C14" s="235"/>
      <c r="D14" s="116">
        <v>100</v>
      </c>
      <c r="E14" s="116">
        <v>100</v>
      </c>
      <c r="F14" s="116">
        <v>100</v>
      </c>
      <c r="G14" s="116">
        <v>100</v>
      </c>
      <c r="H14" s="116">
        <v>100</v>
      </c>
      <c r="I14" s="116">
        <v>100</v>
      </c>
      <c r="J14" s="116">
        <v>100</v>
      </c>
      <c r="K14" s="116">
        <v>100</v>
      </c>
      <c r="L14" s="116">
        <v>100</v>
      </c>
      <c r="M14" s="116">
        <v>100</v>
      </c>
    </row>
    <row r="15" spans="1:13">
      <c r="A15" s="117">
        <v>0.1</v>
      </c>
      <c r="B15" s="235"/>
      <c r="C15" s="235"/>
      <c r="D15" s="116">
        <v>100</v>
      </c>
      <c r="E15" s="116">
        <v>100</v>
      </c>
      <c r="F15" s="116">
        <v>100</v>
      </c>
      <c r="G15" s="116">
        <v>100</v>
      </c>
      <c r="H15" s="116">
        <v>100</v>
      </c>
      <c r="I15" s="116">
        <v>100</v>
      </c>
      <c r="J15" s="116">
        <v>100</v>
      </c>
      <c r="K15" s="116">
        <v>100</v>
      </c>
      <c r="L15" s="116">
        <v>100</v>
      </c>
      <c r="M15" s="116">
        <v>100</v>
      </c>
    </row>
    <row r="16" spans="1:13">
      <c r="A16" s="117">
        <v>0</v>
      </c>
      <c r="B16" s="235"/>
      <c r="C16" s="235"/>
      <c r="D16" s="116">
        <v>100</v>
      </c>
      <c r="E16" s="116">
        <v>100</v>
      </c>
      <c r="F16" s="116">
        <v>100</v>
      </c>
      <c r="G16" s="116">
        <v>100</v>
      </c>
      <c r="H16" s="116">
        <v>100</v>
      </c>
      <c r="I16" s="116">
        <v>100</v>
      </c>
      <c r="J16" s="116">
        <v>100</v>
      </c>
      <c r="K16" s="116">
        <v>100</v>
      </c>
      <c r="L16" s="116">
        <v>100</v>
      </c>
      <c r="M16" s="116">
        <v>100</v>
      </c>
    </row>
    <row r="17" spans="1:13">
      <c r="A17" s="117" t="s">
        <v>95</v>
      </c>
      <c r="B17" s="236"/>
      <c r="C17" s="236"/>
      <c r="D17" s="116">
        <v>100</v>
      </c>
      <c r="E17" s="116">
        <v>99</v>
      </c>
      <c r="F17" s="116">
        <v>99</v>
      </c>
      <c r="G17" s="116">
        <v>99</v>
      </c>
      <c r="H17" s="116">
        <v>98</v>
      </c>
      <c r="I17" s="116">
        <v>92</v>
      </c>
      <c r="J17" s="116">
        <v>80</v>
      </c>
      <c r="K17" s="116">
        <v>74</v>
      </c>
      <c r="L17" s="116">
        <v>72</v>
      </c>
      <c r="M17" s="116">
        <v>72</v>
      </c>
    </row>
    <row r="20" spans="1:13">
      <c r="A20" s="152" t="s">
        <v>96</v>
      </c>
    </row>
    <row r="21" spans="1:13">
      <c r="A21" s="111" t="s">
        <v>5</v>
      </c>
      <c r="B21" s="112">
        <v>2024</v>
      </c>
      <c r="C21" s="113">
        <v>2025</v>
      </c>
      <c r="D21" s="112">
        <v>2026</v>
      </c>
      <c r="E21" s="112">
        <v>2027</v>
      </c>
      <c r="F21" s="112">
        <v>2028</v>
      </c>
      <c r="G21" s="112">
        <v>2029</v>
      </c>
      <c r="H21" s="112">
        <v>2030</v>
      </c>
      <c r="I21" s="112">
        <v>2031</v>
      </c>
      <c r="J21" s="112">
        <v>2032</v>
      </c>
      <c r="K21" s="112">
        <v>2033</v>
      </c>
      <c r="L21" s="112">
        <v>2034</v>
      </c>
      <c r="M21" s="112">
        <v>2035</v>
      </c>
    </row>
    <row r="22" spans="1:13">
      <c r="A22" s="114">
        <v>1</v>
      </c>
      <c r="B22" s="234">
        <v>100</v>
      </c>
      <c r="C22" s="234">
        <v>100</v>
      </c>
      <c r="D22" s="116">
        <v>100</v>
      </c>
      <c r="E22" s="116">
        <v>100</v>
      </c>
      <c r="F22" s="116">
        <v>100</v>
      </c>
      <c r="G22" s="116">
        <v>100</v>
      </c>
      <c r="H22" s="116">
        <v>100</v>
      </c>
      <c r="I22" s="116">
        <v>100</v>
      </c>
      <c r="J22" s="116">
        <v>100</v>
      </c>
      <c r="K22" s="116">
        <v>100</v>
      </c>
      <c r="L22" s="116">
        <v>100</v>
      </c>
      <c r="M22" s="116">
        <v>100</v>
      </c>
    </row>
    <row r="23" spans="1:13">
      <c r="A23" s="120">
        <v>0.9</v>
      </c>
      <c r="B23" s="235"/>
      <c r="C23" s="235"/>
      <c r="D23" s="115">
        <v>100</v>
      </c>
      <c r="E23" s="115">
        <v>100</v>
      </c>
      <c r="F23" s="115">
        <v>100</v>
      </c>
      <c r="G23" s="115">
        <v>100</v>
      </c>
      <c r="H23" s="115">
        <v>100</v>
      </c>
      <c r="I23" s="115">
        <v>100</v>
      </c>
      <c r="J23" s="115">
        <v>100</v>
      </c>
      <c r="K23" s="115">
        <v>100</v>
      </c>
      <c r="L23" s="115">
        <v>100</v>
      </c>
      <c r="M23" s="115">
        <v>100</v>
      </c>
    </row>
    <row r="24" spans="1:13">
      <c r="A24" s="121">
        <v>0.85</v>
      </c>
      <c r="B24" s="235"/>
      <c r="C24" s="237"/>
      <c r="D24" s="115">
        <v>100</v>
      </c>
      <c r="E24" s="115">
        <v>100</v>
      </c>
      <c r="F24" s="115">
        <v>100</v>
      </c>
      <c r="G24" s="115">
        <v>100</v>
      </c>
      <c r="H24" s="115">
        <v>100</v>
      </c>
      <c r="I24" s="115">
        <v>100</v>
      </c>
      <c r="J24" s="115">
        <v>100</v>
      </c>
      <c r="K24" s="115">
        <v>100</v>
      </c>
      <c r="L24" s="115">
        <v>100</v>
      </c>
      <c r="M24" s="115">
        <v>100</v>
      </c>
    </row>
    <row r="25" spans="1:13">
      <c r="A25" s="114">
        <v>0.8</v>
      </c>
      <c r="B25" s="235"/>
      <c r="C25" s="237"/>
      <c r="D25" s="116">
        <v>100</v>
      </c>
      <c r="E25" s="116">
        <v>100</v>
      </c>
      <c r="F25" s="116">
        <v>100</v>
      </c>
      <c r="G25" s="116">
        <v>100</v>
      </c>
      <c r="H25" s="116">
        <v>100</v>
      </c>
      <c r="I25" s="116">
        <v>100</v>
      </c>
      <c r="J25" s="116">
        <v>100</v>
      </c>
      <c r="K25" s="116">
        <v>100</v>
      </c>
      <c r="L25" s="116">
        <v>100</v>
      </c>
      <c r="M25" s="116">
        <v>100</v>
      </c>
    </row>
    <row r="26" spans="1:13">
      <c r="A26" s="122">
        <v>0.7</v>
      </c>
      <c r="B26" s="235"/>
      <c r="C26" s="235"/>
      <c r="D26" s="119">
        <v>100</v>
      </c>
      <c r="E26" s="119">
        <v>100</v>
      </c>
      <c r="F26" s="119">
        <v>100</v>
      </c>
      <c r="G26" s="119">
        <v>100</v>
      </c>
      <c r="H26" s="119">
        <v>100</v>
      </c>
      <c r="I26" s="119">
        <v>100</v>
      </c>
      <c r="J26" s="119">
        <v>100</v>
      </c>
      <c r="K26" s="119">
        <v>100</v>
      </c>
      <c r="L26" s="119">
        <v>100</v>
      </c>
      <c r="M26" s="119">
        <v>100</v>
      </c>
    </row>
    <row r="27" spans="1:13">
      <c r="A27" s="117">
        <v>0.6</v>
      </c>
      <c r="B27" s="235"/>
      <c r="C27" s="235"/>
      <c r="D27" s="116">
        <v>100</v>
      </c>
      <c r="E27" s="116">
        <v>100</v>
      </c>
      <c r="F27" s="116">
        <v>100</v>
      </c>
      <c r="G27" s="116">
        <v>100</v>
      </c>
      <c r="H27" s="116">
        <v>100</v>
      </c>
      <c r="I27" s="116">
        <v>100</v>
      </c>
      <c r="J27" s="116">
        <v>100</v>
      </c>
      <c r="K27" s="116">
        <v>100</v>
      </c>
      <c r="L27" s="116">
        <v>100</v>
      </c>
      <c r="M27" s="116">
        <v>100</v>
      </c>
    </row>
    <row r="28" spans="1:13">
      <c r="A28" s="117">
        <v>0.5</v>
      </c>
      <c r="B28" s="235"/>
      <c r="C28" s="235"/>
      <c r="D28" s="116">
        <v>100</v>
      </c>
      <c r="E28" s="116">
        <v>100</v>
      </c>
      <c r="F28" s="116">
        <v>100</v>
      </c>
      <c r="G28" s="116">
        <v>100</v>
      </c>
      <c r="H28" s="116">
        <v>100</v>
      </c>
      <c r="I28" s="116">
        <v>100</v>
      </c>
      <c r="J28" s="116">
        <v>100</v>
      </c>
      <c r="K28" s="116">
        <v>100</v>
      </c>
      <c r="L28" s="116">
        <v>100</v>
      </c>
      <c r="M28" s="116">
        <v>100</v>
      </c>
    </row>
    <row r="29" spans="1:13">
      <c r="A29" s="117">
        <v>0.4</v>
      </c>
      <c r="B29" s="235"/>
      <c r="C29" s="235"/>
      <c r="D29" s="116">
        <v>100</v>
      </c>
      <c r="E29" s="116">
        <v>100</v>
      </c>
      <c r="F29" s="116">
        <v>100</v>
      </c>
      <c r="G29" s="116">
        <v>100</v>
      </c>
      <c r="H29" s="116">
        <v>100</v>
      </c>
      <c r="I29" s="116">
        <v>100</v>
      </c>
      <c r="J29" s="116">
        <v>100</v>
      </c>
      <c r="K29" s="116">
        <v>100</v>
      </c>
      <c r="L29" s="116">
        <v>100</v>
      </c>
      <c r="M29" s="116">
        <v>100</v>
      </c>
    </row>
    <row r="30" spans="1:13">
      <c r="A30" s="117">
        <v>0.3</v>
      </c>
      <c r="B30" s="235"/>
      <c r="C30" s="235"/>
      <c r="D30" s="116">
        <v>100</v>
      </c>
      <c r="E30" s="116">
        <v>100</v>
      </c>
      <c r="F30" s="116">
        <v>100</v>
      </c>
      <c r="G30" s="116">
        <v>100</v>
      </c>
      <c r="H30" s="116">
        <v>100</v>
      </c>
      <c r="I30" s="116">
        <v>100</v>
      </c>
      <c r="J30" s="116">
        <v>100</v>
      </c>
      <c r="K30" s="116">
        <v>100</v>
      </c>
      <c r="L30" s="116">
        <v>100</v>
      </c>
      <c r="M30" s="116">
        <v>100</v>
      </c>
    </row>
    <row r="31" spans="1:13">
      <c r="A31" s="117">
        <v>0.2</v>
      </c>
      <c r="B31" s="235"/>
      <c r="C31" s="235"/>
      <c r="D31" s="116">
        <v>100</v>
      </c>
      <c r="E31" s="116">
        <v>100</v>
      </c>
      <c r="F31" s="116">
        <v>100</v>
      </c>
      <c r="G31" s="116">
        <v>100</v>
      </c>
      <c r="H31" s="116">
        <v>100</v>
      </c>
      <c r="I31" s="116">
        <v>100</v>
      </c>
      <c r="J31" s="116">
        <v>100</v>
      </c>
      <c r="K31" s="116">
        <v>100</v>
      </c>
      <c r="L31" s="116">
        <v>100</v>
      </c>
      <c r="M31" s="116">
        <v>100</v>
      </c>
    </row>
    <row r="32" spans="1:13">
      <c r="A32" s="117">
        <v>0.1</v>
      </c>
      <c r="B32" s="235"/>
      <c r="C32" s="235"/>
      <c r="D32" s="116">
        <v>100</v>
      </c>
      <c r="E32" s="116">
        <v>100</v>
      </c>
      <c r="F32" s="116">
        <v>100</v>
      </c>
      <c r="G32" s="116">
        <v>100</v>
      </c>
      <c r="H32" s="116">
        <v>100</v>
      </c>
      <c r="I32" s="116">
        <v>100</v>
      </c>
      <c r="J32" s="116">
        <v>100</v>
      </c>
      <c r="K32" s="116">
        <v>100</v>
      </c>
      <c r="L32" s="116">
        <v>100</v>
      </c>
      <c r="M32" s="116">
        <v>100</v>
      </c>
    </row>
    <row r="33" spans="1:13">
      <c r="A33" s="117">
        <v>0</v>
      </c>
      <c r="B33" s="235"/>
      <c r="C33" s="235"/>
      <c r="D33" s="116">
        <v>100</v>
      </c>
      <c r="E33" s="116">
        <v>100</v>
      </c>
      <c r="F33" s="116">
        <v>100</v>
      </c>
      <c r="G33" s="116">
        <v>100</v>
      </c>
      <c r="H33" s="116">
        <v>100</v>
      </c>
      <c r="I33" s="116">
        <v>100</v>
      </c>
      <c r="J33" s="116">
        <v>100</v>
      </c>
      <c r="K33" s="116">
        <v>100</v>
      </c>
      <c r="L33" s="116">
        <v>100</v>
      </c>
      <c r="M33" s="116">
        <v>100</v>
      </c>
    </row>
    <row r="34" spans="1:13">
      <c r="A34" s="165" t="s">
        <v>95</v>
      </c>
      <c r="B34" s="236"/>
      <c r="C34" s="236"/>
      <c r="D34" s="116">
        <v>100</v>
      </c>
      <c r="E34" s="116">
        <v>100</v>
      </c>
      <c r="F34" s="116">
        <v>100</v>
      </c>
      <c r="G34" s="116">
        <v>100</v>
      </c>
      <c r="H34" s="116">
        <v>100</v>
      </c>
      <c r="I34" s="116">
        <v>100</v>
      </c>
      <c r="J34" s="116">
        <v>100</v>
      </c>
      <c r="K34" s="116">
        <v>100</v>
      </c>
      <c r="L34" s="116">
        <v>100</v>
      </c>
      <c r="M34" s="116">
        <v>100</v>
      </c>
    </row>
    <row r="37" spans="1:13">
      <c r="A37" s="152" t="s">
        <v>97</v>
      </c>
    </row>
    <row r="38" spans="1:13">
      <c r="A38" s="152" t="s">
        <v>98</v>
      </c>
    </row>
    <row r="39" spans="1:13">
      <c r="A39" s="184" t="s">
        <v>99</v>
      </c>
      <c r="M39" s="166"/>
    </row>
  </sheetData>
  <mergeCells count="4">
    <mergeCell ref="B5:B17"/>
    <mergeCell ref="C5:C17"/>
    <mergeCell ref="B22:B34"/>
    <mergeCell ref="C22:C34"/>
  </mergeCells>
  <phoneticPr fontId="3"/>
  <conditionalFormatting sqref="B5:C5">
    <cfRule type="colorScale" priority="3">
      <colorScale>
        <cfvo type="num" val="0"/>
        <cfvo type="num" val="100"/>
        <color theme="0"/>
        <color rgb="FFFFC000"/>
      </colorScale>
    </cfRule>
  </conditionalFormatting>
  <conditionalFormatting sqref="D5:M17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D22:M34 B22:C22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9CB9-669B-4C69-B75D-C732026A64A0}">
  <dimension ref="A1:O44"/>
  <sheetViews>
    <sheetView zoomScaleNormal="100" workbookViewId="0">
      <selection activeCell="J35" sqref="J35"/>
    </sheetView>
  </sheetViews>
  <sheetFormatPr defaultRowHeight="13.5"/>
  <sheetData>
    <row r="1" spans="1:13" ht="15">
      <c r="A1" t="s">
        <v>4</v>
      </c>
    </row>
    <row r="2" spans="1:13">
      <c r="G2" s="167"/>
    </row>
    <row r="3" spans="1:13">
      <c r="A3" s="185" t="s">
        <v>100</v>
      </c>
    </row>
    <row r="4" spans="1:13">
      <c r="A4" s="111" t="s">
        <v>5</v>
      </c>
      <c r="B4" s="112">
        <v>2024</v>
      </c>
      <c r="C4" s="113">
        <v>2025</v>
      </c>
      <c r="D4" s="112">
        <v>2026</v>
      </c>
      <c r="E4" s="112">
        <v>2027</v>
      </c>
      <c r="F4" s="112">
        <v>2028</v>
      </c>
      <c r="G4" s="112">
        <v>2029</v>
      </c>
      <c r="H4" s="112">
        <v>2030</v>
      </c>
      <c r="I4" s="112">
        <v>2031</v>
      </c>
      <c r="J4" s="112">
        <v>2032</v>
      </c>
      <c r="K4" s="112">
        <v>2033</v>
      </c>
      <c r="L4" s="112">
        <v>2034</v>
      </c>
      <c r="M4" s="112">
        <v>2035</v>
      </c>
    </row>
    <row r="5" spans="1:13">
      <c r="A5" s="117">
        <v>1</v>
      </c>
      <c r="B5" s="238">
        <v>198.7</v>
      </c>
      <c r="C5" s="238">
        <v>139</v>
      </c>
      <c r="D5" s="168">
        <v>207.4</v>
      </c>
      <c r="E5" s="168">
        <v>230.3</v>
      </c>
      <c r="F5" s="168">
        <v>248.1</v>
      </c>
      <c r="G5" s="168">
        <v>258.5</v>
      </c>
      <c r="H5" s="168">
        <v>259.5</v>
      </c>
      <c r="I5" s="168">
        <v>241.9</v>
      </c>
      <c r="J5" s="168">
        <v>228.9</v>
      </c>
      <c r="K5" s="168">
        <v>222.6</v>
      </c>
      <c r="L5" s="168">
        <v>219.7</v>
      </c>
      <c r="M5" s="168">
        <v>216.8</v>
      </c>
    </row>
    <row r="6" spans="1:13">
      <c r="A6" s="117">
        <v>0.9</v>
      </c>
      <c r="B6" s="239"/>
      <c r="C6" s="241"/>
      <c r="D6" s="168">
        <v>207.4</v>
      </c>
      <c r="E6" s="168">
        <v>236.3</v>
      </c>
      <c r="F6" s="168">
        <v>259.8</v>
      </c>
      <c r="G6" s="168">
        <v>273.7</v>
      </c>
      <c r="H6" s="168">
        <v>276.60000000000002</v>
      </c>
      <c r="I6" s="168">
        <v>259.3</v>
      </c>
      <c r="J6" s="168">
        <v>245.9</v>
      </c>
      <c r="K6" s="168">
        <v>239.1</v>
      </c>
      <c r="L6" s="168">
        <v>235.7</v>
      </c>
      <c r="M6" s="168">
        <v>232.6</v>
      </c>
    </row>
    <row r="7" spans="1:13">
      <c r="A7" s="118">
        <v>0.85</v>
      </c>
      <c r="B7" s="239"/>
      <c r="C7" s="241"/>
      <c r="D7" s="168">
        <v>207.4</v>
      </c>
      <c r="E7" s="168">
        <v>239.3</v>
      </c>
      <c r="F7" s="168">
        <v>265.89999999999998</v>
      </c>
      <c r="G7" s="168">
        <v>281.8</v>
      </c>
      <c r="H7" s="168">
        <v>285.8</v>
      </c>
      <c r="I7" s="168">
        <v>268.7</v>
      </c>
      <c r="J7" s="168">
        <v>255.1</v>
      </c>
      <c r="K7" s="168">
        <v>248.1</v>
      </c>
      <c r="L7" s="168">
        <v>244.5</v>
      </c>
      <c r="M7" s="168">
        <v>241.2</v>
      </c>
    </row>
    <row r="8" spans="1:13">
      <c r="A8" s="114">
        <v>0.8</v>
      </c>
      <c r="B8" s="239"/>
      <c r="C8" s="241"/>
      <c r="D8" s="168">
        <v>207.4</v>
      </c>
      <c r="E8" s="168">
        <v>242.5</v>
      </c>
      <c r="F8" s="168">
        <v>272.10000000000002</v>
      </c>
      <c r="G8" s="168">
        <v>290.2</v>
      </c>
      <c r="H8" s="168">
        <v>295.39999999999998</v>
      </c>
      <c r="I8" s="168">
        <v>278.60000000000002</v>
      </c>
      <c r="J8" s="168">
        <v>264.89999999999998</v>
      </c>
      <c r="K8" s="168">
        <v>257.60000000000002</v>
      </c>
      <c r="L8" s="168">
        <v>253.8</v>
      </c>
      <c r="M8" s="168">
        <v>250.4</v>
      </c>
    </row>
    <row r="9" spans="1:13">
      <c r="A9" s="117">
        <v>0.7</v>
      </c>
      <c r="B9" s="239"/>
      <c r="C9" s="242"/>
      <c r="D9" s="170">
        <v>207.4</v>
      </c>
      <c r="E9" s="170">
        <v>248.9</v>
      </c>
      <c r="F9" s="170">
        <v>285.2</v>
      </c>
      <c r="G9" s="170">
        <v>307.89999999999998</v>
      </c>
      <c r="H9" s="170">
        <v>316</v>
      </c>
      <c r="I9" s="170">
        <v>300.10000000000002</v>
      </c>
      <c r="J9" s="170">
        <v>286.3</v>
      </c>
      <c r="K9" s="170">
        <v>278.60000000000002</v>
      </c>
      <c r="L9" s="170">
        <v>274.2</v>
      </c>
      <c r="M9" s="170">
        <v>270.5</v>
      </c>
    </row>
    <row r="10" spans="1:13">
      <c r="A10" s="117">
        <v>0.6</v>
      </c>
      <c r="B10" s="239"/>
      <c r="C10" s="242"/>
      <c r="D10" s="168">
        <v>207.4</v>
      </c>
      <c r="E10" s="168">
        <v>255.5</v>
      </c>
      <c r="F10" s="168">
        <v>299</v>
      </c>
      <c r="G10" s="168">
        <v>327.10000000000002</v>
      </c>
      <c r="H10" s="168">
        <v>338.6</v>
      </c>
      <c r="I10" s="168">
        <v>324.10000000000002</v>
      </c>
      <c r="J10" s="168">
        <v>310.5</v>
      </c>
      <c r="K10" s="168">
        <v>302.39999999999998</v>
      </c>
      <c r="L10" s="168">
        <v>297.60000000000002</v>
      </c>
      <c r="M10" s="168">
        <v>293.5</v>
      </c>
    </row>
    <row r="11" spans="1:13">
      <c r="A11" s="117">
        <v>0.5</v>
      </c>
      <c r="B11" s="239"/>
      <c r="C11" s="242"/>
      <c r="D11" s="168">
        <v>207.4</v>
      </c>
      <c r="E11" s="168">
        <v>262.3</v>
      </c>
      <c r="F11" s="168">
        <v>313.60000000000002</v>
      </c>
      <c r="G11" s="168">
        <v>347.9</v>
      </c>
      <c r="H11" s="168">
        <v>363.6</v>
      </c>
      <c r="I11" s="168">
        <v>351</v>
      </c>
      <c r="J11" s="168">
        <v>338.1</v>
      </c>
      <c r="K11" s="168">
        <v>329.7</v>
      </c>
      <c r="L11" s="168">
        <v>324.5</v>
      </c>
      <c r="M11" s="168">
        <v>320</v>
      </c>
    </row>
    <row r="12" spans="1:13">
      <c r="A12" s="117">
        <v>0.4</v>
      </c>
      <c r="B12" s="239"/>
      <c r="C12" s="242"/>
      <c r="D12" s="168">
        <v>207.4</v>
      </c>
      <c r="E12" s="168">
        <v>269.39999999999998</v>
      </c>
      <c r="F12" s="168">
        <v>329.1</v>
      </c>
      <c r="G12" s="168">
        <v>370.4</v>
      </c>
      <c r="H12" s="168">
        <v>391.2</v>
      </c>
      <c r="I12" s="168">
        <v>381.3</v>
      </c>
      <c r="J12" s="168">
        <v>369.5</v>
      </c>
      <c r="K12" s="168">
        <v>361.3</v>
      </c>
      <c r="L12" s="168">
        <v>355.7</v>
      </c>
      <c r="M12" s="168">
        <v>350.9</v>
      </c>
    </row>
    <row r="13" spans="1:13">
      <c r="A13" s="117">
        <v>0.3</v>
      </c>
      <c r="B13" s="239"/>
      <c r="C13" s="242"/>
      <c r="D13" s="168">
        <v>207.4</v>
      </c>
      <c r="E13" s="168">
        <v>276.60000000000002</v>
      </c>
      <c r="F13" s="168">
        <v>345.6</v>
      </c>
      <c r="G13" s="168">
        <v>394.8</v>
      </c>
      <c r="H13" s="168">
        <v>421.8</v>
      </c>
      <c r="I13" s="168">
        <v>415.6</v>
      </c>
      <c r="J13" s="168">
        <v>405.6</v>
      </c>
      <c r="K13" s="168">
        <v>397.9</v>
      </c>
      <c r="L13" s="168">
        <v>392.3</v>
      </c>
      <c r="M13" s="168">
        <v>387.3</v>
      </c>
    </row>
    <row r="14" spans="1:13">
      <c r="A14" s="117">
        <v>0.2</v>
      </c>
      <c r="B14" s="239"/>
      <c r="C14" s="242"/>
      <c r="D14" s="168">
        <v>207.4</v>
      </c>
      <c r="E14" s="168">
        <v>284.10000000000002</v>
      </c>
      <c r="F14" s="168">
        <v>363</v>
      </c>
      <c r="G14" s="168">
        <v>421.3</v>
      </c>
      <c r="H14" s="168">
        <v>455.9</v>
      </c>
      <c r="I14" s="168">
        <v>454.5</v>
      </c>
      <c r="J14" s="168">
        <v>447.3</v>
      </c>
      <c r="K14" s="168">
        <v>440.9</v>
      </c>
      <c r="L14" s="168">
        <v>435.5</v>
      </c>
      <c r="M14" s="168">
        <v>430.5</v>
      </c>
    </row>
    <row r="15" spans="1:13">
      <c r="A15" s="117">
        <v>0.1</v>
      </c>
      <c r="B15" s="239"/>
      <c r="C15" s="242"/>
      <c r="D15" s="168">
        <v>207.4</v>
      </c>
      <c r="E15" s="168">
        <v>291.89999999999998</v>
      </c>
      <c r="F15" s="168">
        <v>381.5</v>
      </c>
      <c r="G15" s="168">
        <v>450.2</v>
      </c>
      <c r="H15" s="168">
        <v>493.8</v>
      </c>
      <c r="I15" s="168">
        <v>498.9</v>
      </c>
      <c r="J15" s="168">
        <v>495.8</v>
      </c>
      <c r="K15" s="168">
        <v>491.5</v>
      </c>
      <c r="L15" s="168">
        <v>487.1</v>
      </c>
      <c r="M15" s="168">
        <v>482.5</v>
      </c>
    </row>
    <row r="16" spans="1:13">
      <c r="A16" s="117">
        <v>0</v>
      </c>
      <c r="B16" s="239"/>
      <c r="C16" s="242"/>
      <c r="D16" s="168">
        <v>207.4</v>
      </c>
      <c r="E16" s="168">
        <v>299.89999999999998</v>
      </c>
      <c r="F16" s="168">
        <v>401.2</v>
      </c>
      <c r="G16" s="168">
        <v>481.7</v>
      </c>
      <c r="H16" s="168">
        <v>536.20000000000005</v>
      </c>
      <c r="I16" s="168">
        <v>549.70000000000005</v>
      </c>
      <c r="J16" s="168">
        <v>552.5</v>
      </c>
      <c r="K16" s="168">
        <v>551.79999999999995</v>
      </c>
      <c r="L16" s="168">
        <v>549.29999999999995</v>
      </c>
      <c r="M16" s="168">
        <v>545.9</v>
      </c>
    </row>
    <row r="17" spans="1:15">
      <c r="A17" s="123" t="s">
        <v>31</v>
      </c>
      <c r="B17" s="240"/>
      <c r="C17" s="243"/>
      <c r="D17" s="168">
        <v>196.3</v>
      </c>
      <c r="E17" s="168">
        <v>191.2</v>
      </c>
      <c r="F17" s="168">
        <v>190.4</v>
      </c>
      <c r="G17" s="168">
        <v>190.8</v>
      </c>
      <c r="H17" s="168">
        <v>187.7</v>
      </c>
      <c r="I17" s="168">
        <v>170.9</v>
      </c>
      <c r="J17" s="168">
        <v>161.9</v>
      </c>
      <c r="K17" s="168">
        <v>157.9</v>
      </c>
      <c r="L17" s="168">
        <v>156.6</v>
      </c>
      <c r="M17" s="168">
        <v>154.6</v>
      </c>
    </row>
    <row r="18" spans="1:15">
      <c r="O18" s="166"/>
    </row>
    <row r="20" spans="1:15">
      <c r="A20" s="171" t="s">
        <v>101</v>
      </c>
    </row>
    <row r="21" spans="1:15">
      <c r="A21" s="111" t="s">
        <v>5</v>
      </c>
      <c r="B21" s="112">
        <v>2024</v>
      </c>
      <c r="C21" s="113">
        <v>2025</v>
      </c>
      <c r="D21" s="112">
        <v>2026</v>
      </c>
      <c r="E21" s="112">
        <v>2027</v>
      </c>
      <c r="F21" s="112">
        <v>2028</v>
      </c>
      <c r="G21" s="112">
        <v>2029</v>
      </c>
      <c r="H21" s="112">
        <v>2030</v>
      </c>
      <c r="I21" s="112">
        <v>2031</v>
      </c>
      <c r="J21" s="112">
        <v>2032</v>
      </c>
      <c r="K21" s="112">
        <v>2033</v>
      </c>
      <c r="L21" s="112">
        <v>2034</v>
      </c>
      <c r="M21" s="112">
        <v>2035</v>
      </c>
    </row>
    <row r="22" spans="1:15">
      <c r="A22" s="117">
        <v>1</v>
      </c>
      <c r="B22" s="244">
        <v>96.5</v>
      </c>
      <c r="C22" s="168">
        <v>66.3</v>
      </c>
      <c r="D22" s="168">
        <v>70.2</v>
      </c>
      <c r="E22" s="168">
        <v>76.5</v>
      </c>
      <c r="F22" s="168">
        <v>81.599999999999994</v>
      </c>
      <c r="G22" s="168">
        <v>83.1</v>
      </c>
      <c r="H22" s="168">
        <v>81.900000000000006</v>
      </c>
      <c r="I22" s="168">
        <v>79</v>
      </c>
      <c r="J22" s="168">
        <v>74.900000000000006</v>
      </c>
      <c r="K22" s="168">
        <v>73</v>
      </c>
      <c r="L22" s="168">
        <v>70.900000000000006</v>
      </c>
      <c r="M22" s="168">
        <v>68.8</v>
      </c>
    </row>
    <row r="23" spans="1:15">
      <c r="A23" s="117">
        <v>0.9</v>
      </c>
      <c r="B23" s="245"/>
      <c r="C23" s="169">
        <v>66.3</v>
      </c>
      <c r="D23" s="169">
        <v>64.2</v>
      </c>
      <c r="E23" s="169">
        <v>71.599999999999994</v>
      </c>
      <c r="F23" s="169">
        <v>77.7</v>
      </c>
      <c r="G23" s="169">
        <v>80.099999999999994</v>
      </c>
      <c r="H23" s="169">
        <v>79.599999999999994</v>
      </c>
      <c r="I23" s="169">
        <v>77.2</v>
      </c>
      <c r="J23" s="169">
        <v>73.3</v>
      </c>
      <c r="K23" s="169">
        <v>71.3</v>
      </c>
      <c r="L23" s="169">
        <v>69.3</v>
      </c>
      <c r="M23" s="169">
        <v>67.2</v>
      </c>
    </row>
    <row r="24" spans="1:15">
      <c r="A24" s="118">
        <v>0.85</v>
      </c>
      <c r="B24" s="246"/>
      <c r="C24" s="169">
        <v>66.3</v>
      </c>
      <c r="D24" s="169">
        <v>61.1</v>
      </c>
      <c r="E24" s="169">
        <v>69</v>
      </c>
      <c r="F24" s="169">
        <v>75.400000000000006</v>
      </c>
      <c r="G24" s="169">
        <v>78.3</v>
      </c>
      <c r="H24" s="169">
        <v>78.2</v>
      </c>
      <c r="I24" s="169">
        <v>76</v>
      </c>
      <c r="J24" s="169">
        <v>72.2</v>
      </c>
      <c r="K24" s="169">
        <v>70.3</v>
      </c>
      <c r="L24" s="169">
        <v>68.3</v>
      </c>
      <c r="M24" s="169">
        <v>66.3</v>
      </c>
    </row>
    <row r="25" spans="1:15">
      <c r="A25" s="114">
        <v>0.8</v>
      </c>
      <c r="B25" s="246"/>
      <c r="C25" s="168">
        <v>66.3</v>
      </c>
      <c r="D25" s="168">
        <v>58</v>
      </c>
      <c r="E25" s="168">
        <v>66.2</v>
      </c>
      <c r="F25" s="168">
        <v>73.099999999999994</v>
      </c>
      <c r="G25" s="168">
        <v>76.400000000000006</v>
      </c>
      <c r="H25" s="168">
        <v>76.599999999999994</v>
      </c>
      <c r="I25" s="168">
        <v>74.7</v>
      </c>
      <c r="J25" s="168">
        <v>71</v>
      </c>
      <c r="K25" s="168">
        <v>69.099999999999994</v>
      </c>
      <c r="L25" s="168">
        <v>67.2</v>
      </c>
      <c r="M25" s="168">
        <v>65.2</v>
      </c>
    </row>
    <row r="26" spans="1:15">
      <c r="A26" s="117">
        <v>0.7</v>
      </c>
      <c r="B26" s="245"/>
      <c r="C26" s="170">
        <v>66.3</v>
      </c>
      <c r="D26" s="170">
        <v>51.5</v>
      </c>
      <c r="E26" s="170">
        <v>60.3</v>
      </c>
      <c r="F26" s="170">
        <v>67.8</v>
      </c>
      <c r="G26" s="170">
        <v>71.900000000000006</v>
      </c>
      <c r="H26" s="170">
        <v>72.7</v>
      </c>
      <c r="I26" s="170">
        <v>71.3</v>
      </c>
      <c r="J26" s="170">
        <v>68.099999999999994</v>
      </c>
      <c r="K26" s="170">
        <v>66.3</v>
      </c>
      <c r="L26" s="170">
        <v>64.5</v>
      </c>
      <c r="M26" s="170">
        <v>62.6</v>
      </c>
    </row>
    <row r="27" spans="1:15">
      <c r="A27" s="117">
        <v>0.6</v>
      </c>
      <c r="B27" s="245"/>
      <c r="C27" s="168">
        <v>66.3</v>
      </c>
      <c r="D27" s="168">
        <v>44.9</v>
      </c>
      <c r="E27" s="168">
        <v>53.8</v>
      </c>
      <c r="F27" s="168">
        <v>61.6</v>
      </c>
      <c r="G27" s="168">
        <v>66.400000000000006</v>
      </c>
      <c r="H27" s="168">
        <v>67.900000000000006</v>
      </c>
      <c r="I27" s="168">
        <v>67.099999999999994</v>
      </c>
      <c r="J27" s="168">
        <v>64.3</v>
      </c>
      <c r="K27" s="168">
        <v>62.6</v>
      </c>
      <c r="L27" s="168">
        <v>60.9</v>
      </c>
      <c r="M27" s="168">
        <v>59.2</v>
      </c>
    </row>
    <row r="28" spans="1:15">
      <c r="A28" s="117">
        <v>0.5</v>
      </c>
      <c r="B28" s="245"/>
      <c r="C28" s="168">
        <v>66.3</v>
      </c>
      <c r="D28" s="168">
        <v>38</v>
      </c>
      <c r="E28" s="168">
        <v>46.7</v>
      </c>
      <c r="F28" s="168">
        <v>54.6</v>
      </c>
      <c r="G28" s="168">
        <v>59.7</v>
      </c>
      <c r="H28" s="168">
        <v>61.8</v>
      </c>
      <c r="I28" s="168">
        <v>61.5</v>
      </c>
      <c r="J28" s="168">
        <v>59.2</v>
      </c>
      <c r="K28" s="168">
        <v>57.8</v>
      </c>
      <c r="L28" s="168">
        <v>56.3</v>
      </c>
      <c r="M28" s="168">
        <v>54.8</v>
      </c>
    </row>
    <row r="29" spans="1:15">
      <c r="A29" s="117">
        <v>0.4</v>
      </c>
      <c r="B29" s="245"/>
      <c r="C29" s="168">
        <v>66.3</v>
      </c>
      <c r="D29" s="168">
        <v>30.9</v>
      </c>
      <c r="E29" s="168">
        <v>39</v>
      </c>
      <c r="F29" s="168">
        <v>46.4</v>
      </c>
      <c r="G29" s="168">
        <v>51.7</v>
      </c>
      <c r="H29" s="168">
        <v>54.1</v>
      </c>
      <c r="I29" s="168">
        <v>54.4</v>
      </c>
      <c r="J29" s="168">
        <v>52.7</v>
      </c>
      <c r="K29" s="168">
        <v>51.5</v>
      </c>
      <c r="L29" s="168">
        <v>50.2</v>
      </c>
      <c r="M29" s="168">
        <v>49</v>
      </c>
    </row>
    <row r="30" spans="1:15">
      <c r="A30" s="117">
        <v>0.3</v>
      </c>
      <c r="B30" s="245"/>
      <c r="C30" s="168">
        <v>66.3</v>
      </c>
      <c r="D30" s="168">
        <v>23.6</v>
      </c>
      <c r="E30" s="168">
        <v>30.5</v>
      </c>
      <c r="F30" s="168">
        <v>37.1</v>
      </c>
      <c r="G30" s="168">
        <v>42.1</v>
      </c>
      <c r="H30" s="168">
        <v>44.6</v>
      </c>
      <c r="I30" s="168">
        <v>45.3</v>
      </c>
      <c r="J30" s="168">
        <v>44.2</v>
      </c>
      <c r="K30" s="168">
        <v>43.4</v>
      </c>
      <c r="L30" s="168">
        <v>42.4</v>
      </c>
      <c r="M30" s="168">
        <v>41.4</v>
      </c>
    </row>
    <row r="31" spans="1:15">
      <c r="A31" s="117">
        <v>0.2</v>
      </c>
      <c r="B31" s="245"/>
      <c r="C31" s="168">
        <v>66.3</v>
      </c>
      <c r="D31" s="168">
        <v>16</v>
      </c>
      <c r="E31" s="168">
        <v>21.2</v>
      </c>
      <c r="F31" s="168">
        <v>26.4</v>
      </c>
      <c r="G31" s="168">
        <v>30.5</v>
      </c>
      <c r="H31" s="168">
        <v>32.799999999999997</v>
      </c>
      <c r="I31" s="168">
        <v>33.700000000000003</v>
      </c>
      <c r="J31" s="168">
        <v>33.200000000000003</v>
      </c>
      <c r="K31" s="168">
        <v>32.700000000000003</v>
      </c>
      <c r="L31" s="168">
        <v>32</v>
      </c>
      <c r="M31" s="168">
        <v>31.3</v>
      </c>
    </row>
    <row r="32" spans="1:15">
      <c r="A32" s="117">
        <v>0.1</v>
      </c>
      <c r="B32" s="245"/>
      <c r="C32" s="168">
        <v>66.3</v>
      </c>
      <c r="D32" s="168">
        <v>8.1</v>
      </c>
      <c r="E32" s="168">
        <v>11.1</v>
      </c>
      <c r="F32" s="168">
        <v>14.1</v>
      </c>
      <c r="G32" s="168">
        <v>16.600000000000001</v>
      </c>
      <c r="H32" s="168">
        <v>18.100000000000001</v>
      </c>
      <c r="I32" s="168">
        <v>18.899999999999999</v>
      </c>
      <c r="J32" s="168">
        <v>18.8</v>
      </c>
      <c r="K32" s="168">
        <v>18.600000000000001</v>
      </c>
      <c r="L32" s="168">
        <v>18.3</v>
      </c>
      <c r="M32" s="168">
        <v>18</v>
      </c>
    </row>
    <row r="33" spans="1:13">
      <c r="A33" s="117">
        <v>0</v>
      </c>
      <c r="B33" s="245"/>
      <c r="C33" s="168">
        <v>66.3</v>
      </c>
      <c r="D33" s="168">
        <v>0</v>
      </c>
      <c r="E33" s="168">
        <v>0</v>
      </c>
      <c r="F33" s="168">
        <v>0</v>
      </c>
      <c r="G33" s="168">
        <v>0</v>
      </c>
      <c r="H33" s="168">
        <v>0</v>
      </c>
      <c r="I33" s="168">
        <v>0</v>
      </c>
      <c r="J33" s="168">
        <v>0</v>
      </c>
      <c r="K33" s="168">
        <v>0</v>
      </c>
      <c r="L33" s="168">
        <v>0</v>
      </c>
      <c r="M33" s="168">
        <v>0</v>
      </c>
    </row>
    <row r="34" spans="1:13">
      <c r="A34" s="123" t="s">
        <v>31</v>
      </c>
      <c r="B34" s="247"/>
      <c r="C34" s="168">
        <v>74.900000000000006</v>
      </c>
      <c r="D34" s="168">
        <v>96.8</v>
      </c>
      <c r="E34" s="168">
        <v>93.5</v>
      </c>
      <c r="F34" s="168">
        <v>93.3</v>
      </c>
      <c r="G34" s="168">
        <v>90.8</v>
      </c>
      <c r="H34" s="168">
        <v>87.8</v>
      </c>
      <c r="I34" s="168">
        <v>82.2</v>
      </c>
      <c r="J34" s="168">
        <v>78.900000000000006</v>
      </c>
      <c r="K34" s="168">
        <v>77.3</v>
      </c>
      <c r="L34" s="168">
        <v>74.900000000000006</v>
      </c>
      <c r="M34" s="168">
        <v>72.900000000000006</v>
      </c>
    </row>
    <row r="35" spans="1:13">
      <c r="M35" s="171"/>
    </row>
    <row r="37" spans="1:13">
      <c r="A37" s="185" t="s">
        <v>33</v>
      </c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</row>
    <row r="38" spans="1:13">
      <c r="A38" s="185" t="s">
        <v>32</v>
      </c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</row>
    <row r="39" spans="1:13">
      <c r="A39" s="185" t="s">
        <v>99</v>
      </c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</row>
    <row r="40" spans="1:13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</row>
    <row r="41" spans="1:13">
      <c r="A41" s="185"/>
      <c r="B41" s="185"/>
      <c r="C41" s="185"/>
      <c r="D41" s="185"/>
      <c r="E41" s="185"/>
      <c r="F41" s="226"/>
      <c r="G41" s="185"/>
      <c r="H41" s="185"/>
      <c r="I41" s="185"/>
      <c r="J41" s="185"/>
      <c r="K41" s="185"/>
      <c r="L41" s="185"/>
      <c r="M41" s="185"/>
    </row>
    <row r="42" spans="1:13">
      <c r="A42" s="185"/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</row>
    <row r="43" spans="1:13">
      <c r="A43" s="185"/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</row>
    <row r="44" spans="1:13">
      <c r="A44" s="185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</row>
  </sheetData>
  <mergeCells count="3">
    <mergeCell ref="B5:B17"/>
    <mergeCell ref="C5:C17"/>
    <mergeCell ref="B22:B34"/>
  </mergeCells>
  <phoneticPr fontId="3"/>
  <conditionalFormatting sqref="C22:C34">
    <cfRule type="colorScale" priority="1">
      <colorScale>
        <cfvo type="min"/>
        <cfvo type="max"/>
        <color rgb="FFFCFCFF"/>
        <color rgb="FF92D050"/>
      </colorScale>
    </cfRule>
  </conditionalFormatting>
  <conditionalFormatting sqref="D5:M17 B5:C5">
    <cfRule type="colorScale" priority="3">
      <colorScale>
        <cfvo type="min"/>
        <cfvo type="max"/>
        <color rgb="FFFCFCFF"/>
        <color rgb="FF00B0F0"/>
      </colorScale>
    </cfRule>
  </conditionalFormatting>
  <conditionalFormatting sqref="D22:M34 B22">
    <cfRule type="colorScale" priority="2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624"/>
  <sheetViews>
    <sheetView topLeftCell="A3" zoomScale="80" zoomScaleNormal="80" workbookViewId="0"/>
  </sheetViews>
  <sheetFormatPr defaultRowHeight="15"/>
  <cols>
    <col min="1" max="21" width="8.625" style="13" customWidth="1"/>
    <col min="22" max="40" width="8.625" style="1" customWidth="1"/>
    <col min="41" max="74" width="8.625" style="152" customWidth="1"/>
    <col min="75" max="16384" width="9" style="152"/>
  </cols>
  <sheetData>
    <row r="1" spans="1:49" ht="15.75">
      <c r="A1" s="10" t="s">
        <v>102</v>
      </c>
      <c r="F1" s="172"/>
    </row>
    <row r="2" spans="1:49">
      <c r="A2" s="10"/>
      <c r="J2" s="176"/>
    </row>
    <row r="3" spans="1:49" ht="15.75">
      <c r="A3" s="63" t="s">
        <v>103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173"/>
      <c r="AM3" s="173"/>
      <c r="AN3" s="173"/>
      <c r="AO3" s="173"/>
      <c r="AP3" s="173"/>
      <c r="AQ3" s="173"/>
      <c r="AR3" s="174"/>
      <c r="AS3" s="174"/>
      <c r="AT3" s="174"/>
      <c r="AU3" s="174"/>
      <c r="AV3" s="174"/>
      <c r="AW3" s="174"/>
    </row>
    <row r="4" spans="1:49" ht="15.75">
      <c r="A4" s="64" t="s">
        <v>34</v>
      </c>
      <c r="B4" s="65">
        <v>1976</v>
      </c>
      <c r="C4" s="65">
        <v>1977</v>
      </c>
      <c r="D4" s="65">
        <v>1978</v>
      </c>
      <c r="E4" s="65">
        <v>1979</v>
      </c>
      <c r="F4" s="65">
        <v>1980</v>
      </c>
      <c r="G4" s="65">
        <v>1981</v>
      </c>
      <c r="H4" s="65">
        <v>1982</v>
      </c>
      <c r="I4" s="65">
        <v>1983</v>
      </c>
      <c r="J4" s="65">
        <v>1984</v>
      </c>
      <c r="K4" s="65">
        <v>1985</v>
      </c>
      <c r="L4" s="66">
        <v>1986</v>
      </c>
      <c r="M4" s="66">
        <v>1987</v>
      </c>
      <c r="N4" s="66">
        <v>1988</v>
      </c>
      <c r="O4" s="66">
        <v>1989</v>
      </c>
      <c r="P4" s="66">
        <v>1990</v>
      </c>
      <c r="Q4" s="66">
        <v>1991</v>
      </c>
      <c r="R4" s="66">
        <v>1992</v>
      </c>
      <c r="S4" s="66">
        <v>1993</v>
      </c>
      <c r="T4" s="66">
        <v>1994</v>
      </c>
      <c r="U4" s="66">
        <v>1995</v>
      </c>
      <c r="V4" s="67">
        <v>1996</v>
      </c>
      <c r="W4" s="67">
        <v>1997</v>
      </c>
      <c r="X4" s="67">
        <v>1998</v>
      </c>
      <c r="Y4" s="67">
        <v>1999</v>
      </c>
      <c r="Z4" s="67">
        <v>2000</v>
      </c>
      <c r="AA4" s="67">
        <v>2001</v>
      </c>
      <c r="AB4" s="67">
        <v>2002</v>
      </c>
      <c r="AC4" s="67">
        <v>2003</v>
      </c>
      <c r="AD4" s="67">
        <v>2004</v>
      </c>
      <c r="AE4" s="67">
        <v>2005</v>
      </c>
      <c r="AF4" s="67">
        <v>2006</v>
      </c>
      <c r="AG4" s="67">
        <v>2007</v>
      </c>
      <c r="AH4" s="67">
        <v>2008</v>
      </c>
      <c r="AI4" s="67">
        <v>2009</v>
      </c>
      <c r="AJ4" s="67">
        <v>2010</v>
      </c>
      <c r="AK4" s="67">
        <v>2011</v>
      </c>
      <c r="AL4" s="67">
        <v>2012</v>
      </c>
      <c r="AM4" s="67">
        <v>2013</v>
      </c>
      <c r="AN4" s="67">
        <v>2014</v>
      </c>
      <c r="AO4" s="67">
        <v>2015</v>
      </c>
      <c r="AP4" s="67">
        <v>2016</v>
      </c>
      <c r="AQ4" s="68">
        <v>2017</v>
      </c>
      <c r="AR4" s="68">
        <v>2018</v>
      </c>
      <c r="AS4" s="68">
        <v>2019</v>
      </c>
      <c r="AT4" s="68">
        <v>2020</v>
      </c>
      <c r="AU4" s="68">
        <v>2021</v>
      </c>
      <c r="AV4" s="68">
        <v>2022</v>
      </c>
      <c r="AW4" s="68">
        <v>2023</v>
      </c>
    </row>
    <row r="5" spans="1:49" ht="15.75">
      <c r="A5" s="69" t="s">
        <v>6</v>
      </c>
      <c r="B5" s="70">
        <v>2688</v>
      </c>
      <c r="C5" s="70">
        <v>3838</v>
      </c>
      <c r="D5" s="70">
        <v>3043</v>
      </c>
      <c r="E5" s="70">
        <v>2828</v>
      </c>
      <c r="F5" s="70">
        <v>13733</v>
      </c>
      <c r="G5" s="70">
        <v>6276</v>
      </c>
      <c r="H5" s="70">
        <v>3578</v>
      </c>
      <c r="I5" s="70">
        <v>3601</v>
      </c>
      <c r="J5" s="70">
        <v>9656</v>
      </c>
      <c r="K5" s="70">
        <v>16152</v>
      </c>
      <c r="L5" s="71">
        <v>2612</v>
      </c>
      <c r="M5" s="71">
        <v>13293</v>
      </c>
      <c r="N5" s="71">
        <v>1857</v>
      </c>
      <c r="O5" s="71">
        <v>4733</v>
      </c>
      <c r="P5" s="71">
        <v>1831</v>
      </c>
      <c r="Q5" s="71">
        <v>482</v>
      </c>
      <c r="R5" s="71">
        <v>4003</v>
      </c>
      <c r="S5" s="71">
        <v>2806</v>
      </c>
      <c r="T5" s="71">
        <v>3517</v>
      </c>
      <c r="U5" s="71">
        <v>1973</v>
      </c>
      <c r="V5" s="71">
        <v>2948</v>
      </c>
      <c r="W5" s="71">
        <v>725</v>
      </c>
      <c r="X5" s="71">
        <v>451</v>
      </c>
      <c r="Y5" s="71">
        <v>61</v>
      </c>
      <c r="Z5" s="71">
        <v>1071</v>
      </c>
      <c r="AA5" s="71">
        <v>753</v>
      </c>
      <c r="AB5" s="71">
        <v>24</v>
      </c>
      <c r="AC5" s="71">
        <v>152</v>
      </c>
      <c r="AD5" s="71">
        <v>375</v>
      </c>
      <c r="AE5" s="71">
        <v>260</v>
      </c>
      <c r="AF5" s="71">
        <v>172</v>
      </c>
      <c r="AG5" s="71">
        <v>750</v>
      </c>
      <c r="AH5" s="71">
        <v>459</v>
      </c>
      <c r="AI5" s="71">
        <v>121</v>
      </c>
      <c r="AJ5" s="71">
        <v>209</v>
      </c>
      <c r="AK5" s="71">
        <v>760</v>
      </c>
      <c r="AL5" s="71">
        <v>515</v>
      </c>
      <c r="AM5" s="71">
        <v>330</v>
      </c>
      <c r="AN5" s="71">
        <v>2499</v>
      </c>
      <c r="AO5" s="71">
        <v>4823</v>
      </c>
      <c r="AP5" s="71">
        <v>3493</v>
      </c>
      <c r="AQ5" s="71">
        <v>6466</v>
      </c>
      <c r="AR5" s="71">
        <v>7278</v>
      </c>
      <c r="AS5" s="71">
        <v>3409</v>
      </c>
      <c r="AT5" s="71">
        <v>6661</v>
      </c>
      <c r="AU5" s="71">
        <v>8718</v>
      </c>
      <c r="AV5" s="71">
        <v>13683</v>
      </c>
      <c r="AW5" s="71">
        <v>9261</v>
      </c>
    </row>
    <row r="6" spans="1:49" ht="15.75">
      <c r="A6" s="69" t="s">
        <v>7</v>
      </c>
      <c r="B6" s="70">
        <v>7763</v>
      </c>
      <c r="C6" s="70">
        <v>5052</v>
      </c>
      <c r="D6" s="70">
        <v>8106</v>
      </c>
      <c r="E6" s="70">
        <v>4208</v>
      </c>
      <c r="F6" s="70">
        <v>1500</v>
      </c>
      <c r="G6" s="70">
        <v>36761</v>
      </c>
      <c r="H6" s="70">
        <v>10028</v>
      </c>
      <c r="I6" s="70">
        <v>4538</v>
      </c>
      <c r="J6" s="70">
        <v>12952</v>
      </c>
      <c r="K6" s="70">
        <v>12648</v>
      </c>
      <c r="L6" s="71">
        <v>16897</v>
      </c>
      <c r="M6" s="71">
        <v>7413</v>
      </c>
      <c r="N6" s="71">
        <v>12465</v>
      </c>
      <c r="O6" s="71">
        <v>1176</v>
      </c>
      <c r="P6" s="71">
        <v>2798</v>
      </c>
      <c r="Q6" s="71">
        <v>775</v>
      </c>
      <c r="R6" s="71">
        <v>1190</v>
      </c>
      <c r="S6" s="71">
        <v>8933</v>
      </c>
      <c r="T6" s="71">
        <v>2089</v>
      </c>
      <c r="U6" s="71">
        <v>2533</v>
      </c>
      <c r="V6" s="71">
        <v>651</v>
      </c>
      <c r="W6" s="71">
        <v>2638</v>
      </c>
      <c r="X6" s="71">
        <v>993</v>
      </c>
      <c r="Y6" s="71">
        <v>2606</v>
      </c>
      <c r="Z6" s="71">
        <v>255</v>
      </c>
      <c r="AA6" s="71">
        <v>1466</v>
      </c>
      <c r="AB6" s="71">
        <v>471</v>
      </c>
      <c r="AC6" s="71">
        <v>410</v>
      </c>
      <c r="AD6" s="71">
        <v>399</v>
      </c>
      <c r="AE6" s="71">
        <v>101</v>
      </c>
      <c r="AF6" s="71">
        <v>464</v>
      </c>
      <c r="AG6" s="71">
        <v>430</v>
      </c>
      <c r="AH6" s="71">
        <v>178</v>
      </c>
      <c r="AI6" s="71">
        <v>620</v>
      </c>
      <c r="AJ6" s="71">
        <v>406</v>
      </c>
      <c r="AK6" s="71">
        <v>1769</v>
      </c>
      <c r="AL6" s="71">
        <v>612</v>
      </c>
      <c r="AM6" s="71">
        <v>813</v>
      </c>
      <c r="AN6" s="71">
        <v>591</v>
      </c>
      <c r="AO6" s="71">
        <v>2668</v>
      </c>
      <c r="AP6" s="71">
        <v>1589</v>
      </c>
      <c r="AQ6" s="71">
        <v>1451</v>
      </c>
      <c r="AR6" s="71">
        <v>2659</v>
      </c>
      <c r="AS6" s="71">
        <v>4505</v>
      </c>
      <c r="AT6" s="71">
        <v>4186</v>
      </c>
      <c r="AU6" s="71">
        <v>6019</v>
      </c>
      <c r="AV6" s="71">
        <v>6668</v>
      </c>
      <c r="AW6" s="71">
        <v>7289</v>
      </c>
    </row>
    <row r="7" spans="1:49" ht="15.75">
      <c r="A7" s="69" t="s">
        <v>8</v>
      </c>
      <c r="B7" s="70">
        <v>2542</v>
      </c>
      <c r="C7" s="70">
        <v>5224</v>
      </c>
      <c r="D7" s="70">
        <v>4401</v>
      </c>
      <c r="E7" s="70">
        <v>4714</v>
      </c>
      <c r="F7" s="70">
        <v>3591</v>
      </c>
      <c r="G7" s="70">
        <v>1964</v>
      </c>
      <c r="H7" s="70">
        <v>22951</v>
      </c>
      <c r="I7" s="70">
        <v>15526</v>
      </c>
      <c r="J7" s="70">
        <v>8377</v>
      </c>
      <c r="K7" s="70">
        <v>8947</v>
      </c>
      <c r="L7" s="71">
        <v>8340</v>
      </c>
      <c r="M7" s="71">
        <v>13945</v>
      </c>
      <c r="N7" s="71">
        <v>12176</v>
      </c>
      <c r="O7" s="71">
        <v>6865</v>
      </c>
      <c r="P7" s="71">
        <v>2632</v>
      </c>
      <c r="Q7" s="71">
        <v>944</v>
      </c>
      <c r="R7" s="71">
        <v>363</v>
      </c>
      <c r="S7" s="71">
        <v>317</v>
      </c>
      <c r="T7" s="71">
        <v>1788</v>
      </c>
      <c r="U7" s="71">
        <v>1231</v>
      </c>
      <c r="V7" s="71">
        <v>336</v>
      </c>
      <c r="W7" s="71">
        <v>449</v>
      </c>
      <c r="X7" s="71">
        <v>490</v>
      </c>
      <c r="Y7" s="71">
        <v>1108</v>
      </c>
      <c r="Z7" s="71">
        <v>377</v>
      </c>
      <c r="AA7" s="71">
        <v>564</v>
      </c>
      <c r="AB7" s="71">
        <v>137</v>
      </c>
      <c r="AC7" s="71">
        <v>127</v>
      </c>
      <c r="AD7" s="71">
        <v>71</v>
      </c>
      <c r="AE7" s="71">
        <v>22</v>
      </c>
      <c r="AF7" s="71">
        <v>43</v>
      </c>
      <c r="AG7" s="71">
        <v>206</v>
      </c>
      <c r="AH7" s="71">
        <v>36</v>
      </c>
      <c r="AI7" s="71">
        <v>29</v>
      </c>
      <c r="AJ7" s="71">
        <v>206</v>
      </c>
      <c r="AK7" s="71">
        <v>76</v>
      </c>
      <c r="AL7" s="71">
        <v>570</v>
      </c>
      <c r="AM7" s="71">
        <v>544</v>
      </c>
      <c r="AN7" s="71">
        <v>470</v>
      </c>
      <c r="AO7" s="71">
        <v>380</v>
      </c>
      <c r="AP7" s="71">
        <v>1419</v>
      </c>
      <c r="AQ7" s="71">
        <v>1496</v>
      </c>
      <c r="AR7" s="71">
        <v>2047</v>
      </c>
      <c r="AS7" s="71">
        <v>5336</v>
      </c>
      <c r="AT7" s="71">
        <v>10363</v>
      </c>
      <c r="AU7" s="71">
        <v>7693</v>
      </c>
      <c r="AV7" s="71">
        <v>7350</v>
      </c>
      <c r="AW7" s="71">
        <v>10586</v>
      </c>
    </row>
    <row r="8" spans="1:49" ht="15.75">
      <c r="A8" s="69" t="s">
        <v>9</v>
      </c>
      <c r="B8" s="70">
        <v>278</v>
      </c>
      <c r="C8" s="70">
        <v>1636</v>
      </c>
      <c r="D8" s="70">
        <v>2353</v>
      </c>
      <c r="E8" s="70">
        <v>2750</v>
      </c>
      <c r="F8" s="70">
        <v>4998</v>
      </c>
      <c r="G8" s="70">
        <v>3654</v>
      </c>
      <c r="H8" s="70">
        <v>2007</v>
      </c>
      <c r="I8" s="70">
        <v>20050</v>
      </c>
      <c r="J8" s="70">
        <v>13665</v>
      </c>
      <c r="K8" s="70">
        <v>10192</v>
      </c>
      <c r="L8" s="71">
        <v>8256</v>
      </c>
      <c r="M8" s="71">
        <v>12206</v>
      </c>
      <c r="N8" s="71">
        <v>8351</v>
      </c>
      <c r="O8" s="71">
        <v>11210</v>
      </c>
      <c r="P8" s="71">
        <v>6753</v>
      </c>
      <c r="Q8" s="71">
        <v>1373</v>
      </c>
      <c r="R8" s="71">
        <v>738</v>
      </c>
      <c r="S8" s="71">
        <v>321</v>
      </c>
      <c r="T8" s="71">
        <v>319</v>
      </c>
      <c r="U8" s="71">
        <v>193</v>
      </c>
      <c r="V8" s="71">
        <v>128</v>
      </c>
      <c r="W8" s="71">
        <v>139</v>
      </c>
      <c r="X8" s="71">
        <v>148</v>
      </c>
      <c r="Y8" s="71">
        <v>421</v>
      </c>
      <c r="Z8" s="71">
        <v>320</v>
      </c>
      <c r="AA8" s="71">
        <v>196</v>
      </c>
      <c r="AB8" s="71">
        <v>50</v>
      </c>
      <c r="AC8" s="71">
        <v>73</v>
      </c>
      <c r="AD8" s="71">
        <v>13</v>
      </c>
      <c r="AE8" s="71">
        <v>35</v>
      </c>
      <c r="AF8" s="71">
        <v>23</v>
      </c>
      <c r="AG8" s="71">
        <v>20</v>
      </c>
      <c r="AH8" s="71">
        <v>16</v>
      </c>
      <c r="AI8" s="71">
        <v>11</v>
      </c>
      <c r="AJ8" s="71">
        <v>14</v>
      </c>
      <c r="AK8" s="71">
        <v>15</v>
      </c>
      <c r="AL8" s="71">
        <v>25</v>
      </c>
      <c r="AM8" s="71">
        <v>240</v>
      </c>
      <c r="AN8" s="71">
        <v>346</v>
      </c>
      <c r="AO8" s="71">
        <v>223</v>
      </c>
      <c r="AP8" s="71">
        <v>384</v>
      </c>
      <c r="AQ8" s="71">
        <v>1142</v>
      </c>
      <c r="AR8" s="71">
        <v>1128</v>
      </c>
      <c r="AS8" s="71">
        <v>1320</v>
      </c>
      <c r="AT8" s="71">
        <v>2354</v>
      </c>
      <c r="AU8" s="71">
        <v>4762</v>
      </c>
      <c r="AV8" s="71">
        <v>3918</v>
      </c>
      <c r="AW8" s="71">
        <v>3962</v>
      </c>
    </row>
    <row r="9" spans="1:49" ht="15.75">
      <c r="A9" s="69" t="s">
        <v>10</v>
      </c>
      <c r="B9" s="70">
        <v>98</v>
      </c>
      <c r="C9" s="70">
        <v>53</v>
      </c>
      <c r="D9" s="70">
        <v>346</v>
      </c>
      <c r="E9" s="70">
        <v>745</v>
      </c>
      <c r="F9" s="70">
        <v>1790</v>
      </c>
      <c r="G9" s="70">
        <v>1845</v>
      </c>
      <c r="H9" s="70">
        <v>3494</v>
      </c>
      <c r="I9" s="70">
        <v>874</v>
      </c>
      <c r="J9" s="70">
        <v>6671</v>
      </c>
      <c r="K9" s="70">
        <v>6217</v>
      </c>
      <c r="L9" s="71">
        <v>5976</v>
      </c>
      <c r="M9" s="71">
        <v>6746</v>
      </c>
      <c r="N9" s="71">
        <v>6310</v>
      </c>
      <c r="O9" s="71">
        <v>7801</v>
      </c>
      <c r="P9" s="71">
        <v>9491</v>
      </c>
      <c r="Q9" s="71">
        <v>5685</v>
      </c>
      <c r="R9" s="71">
        <v>768</v>
      </c>
      <c r="S9" s="71">
        <v>329</v>
      </c>
      <c r="T9" s="71">
        <v>125</v>
      </c>
      <c r="U9" s="71">
        <v>42</v>
      </c>
      <c r="V9" s="71">
        <v>28</v>
      </c>
      <c r="W9" s="71">
        <v>30</v>
      </c>
      <c r="X9" s="71">
        <v>142</v>
      </c>
      <c r="Y9" s="71">
        <v>174</v>
      </c>
      <c r="Z9" s="71">
        <v>235</v>
      </c>
      <c r="AA9" s="71">
        <v>103</v>
      </c>
      <c r="AB9" s="71">
        <v>27</v>
      </c>
      <c r="AC9" s="71">
        <v>31</v>
      </c>
      <c r="AD9" s="71">
        <v>9</v>
      </c>
      <c r="AE9" s="71">
        <v>46</v>
      </c>
      <c r="AF9" s="71">
        <v>13</v>
      </c>
      <c r="AG9" s="71">
        <v>7</v>
      </c>
      <c r="AH9" s="71">
        <v>2</v>
      </c>
      <c r="AI9" s="71">
        <v>6</v>
      </c>
      <c r="AJ9" s="71">
        <v>10</v>
      </c>
      <c r="AK9" s="71">
        <v>6</v>
      </c>
      <c r="AL9" s="71">
        <v>4</v>
      </c>
      <c r="AM9" s="71">
        <v>8</v>
      </c>
      <c r="AN9" s="71">
        <v>76</v>
      </c>
      <c r="AO9" s="71">
        <v>40</v>
      </c>
      <c r="AP9" s="71">
        <v>154</v>
      </c>
      <c r="AQ9" s="71">
        <v>275</v>
      </c>
      <c r="AR9" s="71">
        <v>367</v>
      </c>
      <c r="AS9" s="71">
        <v>560</v>
      </c>
      <c r="AT9" s="71">
        <v>649</v>
      </c>
      <c r="AU9" s="71">
        <v>741</v>
      </c>
      <c r="AV9" s="71">
        <v>1344</v>
      </c>
      <c r="AW9" s="71">
        <v>1763</v>
      </c>
    </row>
    <row r="10" spans="1:49" ht="15.75">
      <c r="A10" s="69" t="s">
        <v>35</v>
      </c>
      <c r="B10" s="70">
        <v>1</v>
      </c>
      <c r="C10" s="70">
        <v>1</v>
      </c>
      <c r="D10" s="70">
        <v>27</v>
      </c>
      <c r="E10" s="70">
        <v>19</v>
      </c>
      <c r="F10" s="70">
        <v>324</v>
      </c>
      <c r="G10" s="70">
        <v>348</v>
      </c>
      <c r="H10" s="70">
        <v>1365</v>
      </c>
      <c r="I10" s="70">
        <v>1358</v>
      </c>
      <c r="J10" s="70">
        <v>2958</v>
      </c>
      <c r="K10" s="70">
        <v>2039</v>
      </c>
      <c r="L10" s="71">
        <v>2452</v>
      </c>
      <c r="M10" s="71">
        <v>2929</v>
      </c>
      <c r="N10" s="71">
        <v>3073</v>
      </c>
      <c r="O10" s="71">
        <v>4185</v>
      </c>
      <c r="P10" s="71">
        <v>4655</v>
      </c>
      <c r="Q10" s="71">
        <v>8525</v>
      </c>
      <c r="R10" s="71">
        <v>8352</v>
      </c>
      <c r="S10" s="71">
        <v>932</v>
      </c>
      <c r="T10" s="71">
        <v>328</v>
      </c>
      <c r="U10" s="71">
        <v>60</v>
      </c>
      <c r="V10" s="71">
        <v>12</v>
      </c>
      <c r="W10" s="71">
        <v>10</v>
      </c>
      <c r="X10" s="71">
        <v>71</v>
      </c>
      <c r="Y10" s="71">
        <v>59</v>
      </c>
      <c r="Z10" s="71">
        <v>89</v>
      </c>
      <c r="AA10" s="71">
        <v>71</v>
      </c>
      <c r="AB10" s="71">
        <v>17</v>
      </c>
      <c r="AC10" s="71">
        <v>12</v>
      </c>
      <c r="AD10" s="71">
        <v>5</v>
      </c>
      <c r="AE10" s="71">
        <v>22</v>
      </c>
      <c r="AF10" s="71">
        <v>3</v>
      </c>
      <c r="AG10" s="71">
        <v>3</v>
      </c>
      <c r="AH10" s="71">
        <v>1</v>
      </c>
      <c r="AI10" s="71">
        <v>2</v>
      </c>
      <c r="AJ10" s="71">
        <v>8</v>
      </c>
      <c r="AK10" s="71">
        <v>8</v>
      </c>
      <c r="AL10" s="71">
        <v>1</v>
      </c>
      <c r="AM10" s="71">
        <v>5</v>
      </c>
      <c r="AN10" s="71">
        <v>5</v>
      </c>
      <c r="AO10" s="71">
        <v>13</v>
      </c>
      <c r="AP10" s="71">
        <v>34</v>
      </c>
      <c r="AQ10" s="71">
        <v>88</v>
      </c>
      <c r="AR10" s="71">
        <v>135</v>
      </c>
      <c r="AS10" s="71">
        <v>170</v>
      </c>
      <c r="AT10" s="71">
        <v>128</v>
      </c>
      <c r="AU10" s="71">
        <v>169</v>
      </c>
      <c r="AV10" s="71">
        <v>261</v>
      </c>
      <c r="AW10" s="71">
        <v>606</v>
      </c>
    </row>
    <row r="11" spans="1:49" ht="15.75">
      <c r="A11" s="89" t="s">
        <v>104</v>
      </c>
      <c r="B11" s="73">
        <v>13370</v>
      </c>
      <c r="C11" s="73">
        <v>15803</v>
      </c>
      <c r="D11" s="73">
        <v>18276</v>
      </c>
      <c r="E11" s="73">
        <v>15264</v>
      </c>
      <c r="F11" s="73">
        <v>25937</v>
      </c>
      <c r="G11" s="73">
        <v>50849</v>
      </c>
      <c r="H11" s="73">
        <v>43422</v>
      </c>
      <c r="I11" s="73">
        <v>45946</v>
      </c>
      <c r="J11" s="73">
        <v>54278</v>
      </c>
      <c r="K11" s="73">
        <v>56194</v>
      </c>
      <c r="L11" s="73">
        <v>44531</v>
      </c>
      <c r="M11" s="73">
        <v>56532</v>
      </c>
      <c r="N11" s="73">
        <v>44231</v>
      </c>
      <c r="O11" s="73">
        <v>35970</v>
      </c>
      <c r="P11" s="73">
        <v>28160</v>
      </c>
      <c r="Q11" s="73">
        <v>17784</v>
      </c>
      <c r="R11" s="73">
        <v>15414</v>
      </c>
      <c r="S11" s="73">
        <v>13637</v>
      </c>
      <c r="T11" s="73">
        <v>8168</v>
      </c>
      <c r="U11" s="73">
        <v>6033</v>
      </c>
      <c r="V11" s="74">
        <v>4103</v>
      </c>
      <c r="W11" s="74">
        <v>3990</v>
      </c>
      <c r="X11" s="74">
        <v>2295</v>
      </c>
      <c r="Y11" s="74">
        <v>4428</v>
      </c>
      <c r="Z11" s="74">
        <v>2347</v>
      </c>
      <c r="AA11" s="74">
        <v>3154</v>
      </c>
      <c r="AB11" s="74">
        <v>725</v>
      </c>
      <c r="AC11" s="74">
        <v>804</v>
      </c>
      <c r="AD11" s="74">
        <v>872</v>
      </c>
      <c r="AE11" s="74">
        <v>486</v>
      </c>
      <c r="AF11" s="74">
        <v>718</v>
      </c>
      <c r="AG11" s="74">
        <v>1416</v>
      </c>
      <c r="AH11" s="74">
        <v>692</v>
      </c>
      <c r="AI11" s="74">
        <v>788</v>
      </c>
      <c r="AJ11" s="74">
        <v>852</v>
      </c>
      <c r="AK11" s="74">
        <v>2634</v>
      </c>
      <c r="AL11" s="74">
        <v>1727</v>
      </c>
      <c r="AM11" s="74">
        <v>1939</v>
      </c>
      <c r="AN11" s="74">
        <v>3988</v>
      </c>
      <c r="AO11" s="74">
        <v>8145</v>
      </c>
      <c r="AP11" s="74">
        <v>7073</v>
      </c>
      <c r="AQ11" s="74">
        <v>10918</v>
      </c>
      <c r="AR11" s="74">
        <v>13613</v>
      </c>
      <c r="AS11" s="74">
        <v>15300</v>
      </c>
      <c r="AT11" s="74">
        <v>24342</v>
      </c>
      <c r="AU11" s="74">
        <v>28102</v>
      </c>
      <c r="AV11" s="74">
        <v>33224</v>
      </c>
      <c r="AW11" s="74">
        <v>33466</v>
      </c>
    </row>
    <row r="12" spans="1:49" ht="15.75">
      <c r="A12" s="75"/>
      <c r="B12" s="75"/>
      <c r="C12" s="76"/>
      <c r="D12" s="76"/>
      <c r="E12" s="76"/>
      <c r="F12" s="76"/>
      <c r="G12" s="76"/>
      <c r="H12" s="76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7"/>
      <c r="Z12" s="77"/>
      <c r="AA12" s="77"/>
      <c r="AB12" s="77"/>
      <c r="AC12" s="77"/>
      <c r="AD12" s="77"/>
      <c r="AE12" s="77"/>
      <c r="AF12" s="77"/>
      <c r="AG12" s="75"/>
      <c r="AH12" s="75"/>
      <c r="AI12" s="77"/>
      <c r="AJ12" s="75"/>
      <c r="AK12" s="75"/>
      <c r="AL12" s="77"/>
      <c r="AM12" s="75"/>
      <c r="AN12" s="75"/>
      <c r="AO12" s="77"/>
      <c r="AP12" s="75"/>
      <c r="AQ12" s="75"/>
      <c r="AR12" s="75"/>
      <c r="AS12" s="75"/>
      <c r="AT12" s="75"/>
      <c r="AU12" s="75"/>
      <c r="AV12" s="75"/>
      <c r="AW12" s="75"/>
    </row>
    <row r="13" spans="1:49" ht="15.75">
      <c r="A13" s="63" t="s">
        <v>36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</row>
    <row r="14" spans="1:49" ht="15.75">
      <c r="A14" s="64" t="s">
        <v>34</v>
      </c>
      <c r="B14" s="65">
        <v>1976</v>
      </c>
      <c r="C14" s="65">
        <v>1977</v>
      </c>
      <c r="D14" s="65">
        <v>1978</v>
      </c>
      <c r="E14" s="65">
        <v>1979</v>
      </c>
      <c r="F14" s="65">
        <v>1980</v>
      </c>
      <c r="G14" s="65">
        <v>1981</v>
      </c>
      <c r="H14" s="65">
        <v>1982</v>
      </c>
      <c r="I14" s="65">
        <v>1983</v>
      </c>
      <c r="J14" s="65">
        <v>1984</v>
      </c>
      <c r="K14" s="65">
        <v>1985</v>
      </c>
      <c r="L14" s="65">
        <v>1986</v>
      </c>
      <c r="M14" s="65">
        <v>1987</v>
      </c>
      <c r="N14" s="65">
        <v>1988</v>
      </c>
      <c r="O14" s="65">
        <v>1989</v>
      </c>
      <c r="P14" s="65">
        <v>1990</v>
      </c>
      <c r="Q14" s="65">
        <v>1991</v>
      </c>
      <c r="R14" s="65">
        <v>1992</v>
      </c>
      <c r="S14" s="65">
        <v>1993</v>
      </c>
      <c r="T14" s="65">
        <v>1994</v>
      </c>
      <c r="U14" s="65">
        <v>1995</v>
      </c>
      <c r="V14" s="65">
        <v>1996</v>
      </c>
      <c r="W14" s="65">
        <v>1997</v>
      </c>
      <c r="X14" s="65">
        <v>1998</v>
      </c>
      <c r="Y14" s="65">
        <v>1999</v>
      </c>
      <c r="Z14" s="65">
        <v>2000</v>
      </c>
      <c r="AA14" s="65">
        <v>2001</v>
      </c>
      <c r="AB14" s="65">
        <v>2002</v>
      </c>
      <c r="AC14" s="65">
        <v>2003</v>
      </c>
      <c r="AD14" s="65">
        <v>2004</v>
      </c>
      <c r="AE14" s="65">
        <v>2005</v>
      </c>
      <c r="AF14" s="65">
        <v>2006</v>
      </c>
      <c r="AG14" s="65">
        <v>2007</v>
      </c>
      <c r="AH14" s="65">
        <v>2008</v>
      </c>
      <c r="AI14" s="65">
        <v>2009</v>
      </c>
      <c r="AJ14" s="65">
        <v>2010</v>
      </c>
      <c r="AK14" s="65">
        <v>2011</v>
      </c>
      <c r="AL14" s="65">
        <v>2012</v>
      </c>
      <c r="AM14" s="65">
        <v>2013</v>
      </c>
      <c r="AN14" s="65">
        <v>2014</v>
      </c>
      <c r="AO14" s="65">
        <v>2015</v>
      </c>
      <c r="AP14" s="65">
        <v>2016</v>
      </c>
      <c r="AQ14" s="65">
        <v>2017</v>
      </c>
      <c r="AR14" s="65">
        <v>2018</v>
      </c>
      <c r="AS14" s="65">
        <v>2019</v>
      </c>
      <c r="AT14" s="65">
        <v>2020</v>
      </c>
      <c r="AU14" s="65">
        <v>2021</v>
      </c>
      <c r="AV14" s="65">
        <v>2022</v>
      </c>
      <c r="AW14" s="65">
        <v>2023</v>
      </c>
    </row>
    <row r="15" spans="1:49" ht="15.75">
      <c r="A15" s="69" t="s">
        <v>6</v>
      </c>
      <c r="B15" s="78">
        <v>67.2</v>
      </c>
      <c r="C15" s="78">
        <v>80.599999999999994</v>
      </c>
      <c r="D15" s="78">
        <v>66.900000000000006</v>
      </c>
      <c r="E15" s="78">
        <v>96.1</v>
      </c>
      <c r="F15" s="78">
        <v>288.39999999999998</v>
      </c>
      <c r="G15" s="78">
        <v>119.2</v>
      </c>
      <c r="H15" s="78">
        <v>68</v>
      </c>
      <c r="I15" s="78">
        <v>43.2</v>
      </c>
      <c r="J15" s="78">
        <v>77.2</v>
      </c>
      <c r="K15" s="78">
        <v>290.7</v>
      </c>
      <c r="L15" s="79">
        <v>26.1</v>
      </c>
      <c r="M15" s="79">
        <v>79.8</v>
      </c>
      <c r="N15" s="79">
        <v>22.3</v>
      </c>
      <c r="O15" s="79">
        <v>47.3</v>
      </c>
      <c r="P15" s="79">
        <v>9.1999999999999993</v>
      </c>
      <c r="Q15" s="79">
        <v>1.9</v>
      </c>
      <c r="R15" s="79">
        <v>72.099999999999994</v>
      </c>
      <c r="S15" s="79">
        <v>16.8</v>
      </c>
      <c r="T15" s="79">
        <v>38.700000000000003</v>
      </c>
      <c r="U15" s="79">
        <v>66.8</v>
      </c>
      <c r="V15" s="79">
        <v>99.9</v>
      </c>
      <c r="W15" s="79">
        <v>20.3</v>
      </c>
      <c r="X15" s="79">
        <v>10.8</v>
      </c>
      <c r="Y15" s="79">
        <v>2.2000000000000002</v>
      </c>
      <c r="Z15" s="79">
        <v>31.7</v>
      </c>
      <c r="AA15" s="79">
        <v>12.7</v>
      </c>
      <c r="AB15" s="79">
        <v>0.8</v>
      </c>
      <c r="AC15" s="79">
        <v>2.9</v>
      </c>
      <c r="AD15" s="79">
        <v>10.199999999999999</v>
      </c>
      <c r="AE15" s="79">
        <v>6.2</v>
      </c>
      <c r="AF15" s="79">
        <v>3.7</v>
      </c>
      <c r="AG15" s="79">
        <v>20.2</v>
      </c>
      <c r="AH15" s="79">
        <v>11.7</v>
      </c>
      <c r="AI15" s="79">
        <v>2.6</v>
      </c>
      <c r="AJ15" s="79">
        <v>6.2</v>
      </c>
      <c r="AK15" s="79">
        <v>23.2</v>
      </c>
      <c r="AL15" s="79">
        <v>13.6</v>
      </c>
      <c r="AM15" s="79">
        <v>7.4</v>
      </c>
      <c r="AN15" s="79">
        <v>60.1</v>
      </c>
      <c r="AO15" s="79">
        <v>88.7</v>
      </c>
      <c r="AP15" s="79">
        <v>71.900000000000006</v>
      </c>
      <c r="AQ15" s="79">
        <v>89.1</v>
      </c>
      <c r="AR15" s="79">
        <v>123.8</v>
      </c>
      <c r="AS15" s="79">
        <v>53.1</v>
      </c>
      <c r="AT15" s="79">
        <v>102.3</v>
      </c>
      <c r="AU15" s="79">
        <v>121</v>
      </c>
      <c r="AV15" s="79">
        <v>221.8</v>
      </c>
      <c r="AW15" s="79">
        <v>139.5</v>
      </c>
    </row>
    <row r="16" spans="1:49" ht="15.75">
      <c r="A16" s="69" t="s">
        <v>7</v>
      </c>
      <c r="B16" s="78">
        <v>434.7</v>
      </c>
      <c r="C16" s="78">
        <v>293</v>
      </c>
      <c r="D16" s="78">
        <v>421.5</v>
      </c>
      <c r="E16" s="78">
        <v>231.4</v>
      </c>
      <c r="F16" s="78">
        <v>103.5</v>
      </c>
      <c r="G16" s="78">
        <v>1396.9</v>
      </c>
      <c r="H16" s="78">
        <v>411.1</v>
      </c>
      <c r="I16" s="78">
        <v>190.6</v>
      </c>
      <c r="J16" s="78">
        <v>531</v>
      </c>
      <c r="K16" s="78">
        <v>505.9</v>
      </c>
      <c r="L16" s="79">
        <v>709.7</v>
      </c>
      <c r="M16" s="79">
        <v>348.4</v>
      </c>
      <c r="N16" s="79">
        <v>610.79999999999995</v>
      </c>
      <c r="O16" s="79">
        <v>52.9</v>
      </c>
      <c r="P16" s="79">
        <v>114.7</v>
      </c>
      <c r="Q16" s="79">
        <v>23.2</v>
      </c>
      <c r="R16" s="79">
        <v>64.3</v>
      </c>
      <c r="S16" s="79">
        <v>544.9</v>
      </c>
      <c r="T16" s="79">
        <v>117</v>
      </c>
      <c r="U16" s="79">
        <v>123.3</v>
      </c>
      <c r="V16" s="79">
        <v>31.7</v>
      </c>
      <c r="W16" s="79">
        <v>168.8</v>
      </c>
      <c r="X16" s="79">
        <v>51.7</v>
      </c>
      <c r="Y16" s="79">
        <v>155.6</v>
      </c>
      <c r="Z16" s="79">
        <v>11.1</v>
      </c>
      <c r="AA16" s="79">
        <v>79.2</v>
      </c>
      <c r="AB16" s="79">
        <v>26.9</v>
      </c>
      <c r="AC16" s="79">
        <v>25.2</v>
      </c>
      <c r="AD16" s="79">
        <v>27.3</v>
      </c>
      <c r="AE16" s="79">
        <v>4.0999999999999996</v>
      </c>
      <c r="AF16" s="79">
        <v>37.5</v>
      </c>
      <c r="AG16" s="79">
        <v>22.7</v>
      </c>
      <c r="AH16" s="79">
        <v>9.8000000000000007</v>
      </c>
      <c r="AI16" s="79">
        <v>41.9</v>
      </c>
      <c r="AJ16" s="79">
        <v>30.9</v>
      </c>
      <c r="AK16" s="79">
        <v>97</v>
      </c>
      <c r="AL16" s="79">
        <v>34.200000000000003</v>
      </c>
      <c r="AM16" s="79">
        <v>44.6</v>
      </c>
      <c r="AN16" s="79">
        <v>30</v>
      </c>
      <c r="AO16" s="79">
        <v>110</v>
      </c>
      <c r="AP16" s="79">
        <v>75.900000000000006</v>
      </c>
      <c r="AQ16" s="79">
        <v>73.2</v>
      </c>
      <c r="AR16" s="79">
        <v>109.4</v>
      </c>
      <c r="AS16" s="79">
        <v>182.1</v>
      </c>
      <c r="AT16" s="79">
        <v>172.3</v>
      </c>
      <c r="AU16" s="79">
        <v>222.4</v>
      </c>
      <c r="AV16" s="79">
        <v>224.8</v>
      </c>
      <c r="AW16" s="79">
        <v>292.60000000000002</v>
      </c>
    </row>
    <row r="17" spans="1:49" ht="15.75">
      <c r="A17" s="69" t="s">
        <v>8</v>
      </c>
      <c r="B17" s="78">
        <v>213.5</v>
      </c>
      <c r="C17" s="78">
        <v>438.8</v>
      </c>
      <c r="D17" s="78">
        <v>369.7</v>
      </c>
      <c r="E17" s="78">
        <v>381.8</v>
      </c>
      <c r="F17" s="78">
        <v>290.89999999999998</v>
      </c>
      <c r="G17" s="78">
        <v>167</v>
      </c>
      <c r="H17" s="78">
        <v>1216.4000000000001</v>
      </c>
      <c r="I17" s="78">
        <v>916</v>
      </c>
      <c r="J17" s="78">
        <v>452.4</v>
      </c>
      <c r="K17" s="78">
        <v>438.4</v>
      </c>
      <c r="L17" s="79">
        <v>492.1</v>
      </c>
      <c r="M17" s="79">
        <v>753</v>
      </c>
      <c r="N17" s="79">
        <v>706.2</v>
      </c>
      <c r="O17" s="79">
        <v>405</v>
      </c>
      <c r="P17" s="79">
        <v>152.6</v>
      </c>
      <c r="Q17" s="79">
        <v>82.1</v>
      </c>
      <c r="R17" s="79">
        <v>30.1</v>
      </c>
      <c r="S17" s="79">
        <v>25.1</v>
      </c>
      <c r="T17" s="79">
        <v>168.1</v>
      </c>
      <c r="U17" s="79">
        <v>103.8</v>
      </c>
      <c r="V17" s="79">
        <v>28.3</v>
      </c>
      <c r="W17" s="79">
        <v>44.4</v>
      </c>
      <c r="X17" s="79">
        <v>38.700000000000003</v>
      </c>
      <c r="Y17" s="79">
        <v>85</v>
      </c>
      <c r="Z17" s="79">
        <v>28.7</v>
      </c>
      <c r="AA17" s="79">
        <v>44.7</v>
      </c>
      <c r="AB17" s="79">
        <v>10.9</v>
      </c>
      <c r="AC17" s="79">
        <v>9.9</v>
      </c>
      <c r="AD17" s="79">
        <v>7.2</v>
      </c>
      <c r="AE17" s="79">
        <v>1.9</v>
      </c>
      <c r="AF17" s="79">
        <v>3.6</v>
      </c>
      <c r="AG17" s="79">
        <v>19</v>
      </c>
      <c r="AH17" s="79">
        <v>2.9</v>
      </c>
      <c r="AI17" s="79">
        <v>2.7</v>
      </c>
      <c r="AJ17" s="79">
        <v>23.9</v>
      </c>
      <c r="AK17" s="79">
        <v>8.3000000000000007</v>
      </c>
      <c r="AL17" s="79">
        <v>50.2</v>
      </c>
      <c r="AM17" s="79">
        <v>48.9</v>
      </c>
      <c r="AN17" s="79">
        <v>44.7</v>
      </c>
      <c r="AO17" s="79">
        <v>36.4</v>
      </c>
      <c r="AP17" s="79">
        <v>112.3</v>
      </c>
      <c r="AQ17" s="79">
        <v>136.80000000000001</v>
      </c>
      <c r="AR17" s="79">
        <v>147.6</v>
      </c>
      <c r="AS17" s="79">
        <v>302</v>
      </c>
      <c r="AT17" s="79">
        <v>519.79999999999995</v>
      </c>
      <c r="AU17" s="79">
        <v>377.2</v>
      </c>
      <c r="AV17" s="79">
        <v>335.9</v>
      </c>
      <c r="AW17" s="79">
        <v>489.1</v>
      </c>
    </row>
    <row r="18" spans="1:49" ht="15.75">
      <c r="A18" s="69" t="s">
        <v>9</v>
      </c>
      <c r="B18" s="78">
        <v>29.2</v>
      </c>
      <c r="C18" s="78">
        <v>171.8</v>
      </c>
      <c r="D18" s="78">
        <v>247.1</v>
      </c>
      <c r="E18" s="78">
        <v>288.8</v>
      </c>
      <c r="F18" s="78">
        <v>509.8</v>
      </c>
      <c r="G18" s="78">
        <v>354.5</v>
      </c>
      <c r="H18" s="78">
        <v>182.7</v>
      </c>
      <c r="I18" s="78">
        <v>1343.4</v>
      </c>
      <c r="J18" s="78">
        <v>929.2</v>
      </c>
      <c r="K18" s="78">
        <v>682.8</v>
      </c>
      <c r="L18" s="79">
        <v>619.20000000000005</v>
      </c>
      <c r="M18" s="79">
        <v>817.8</v>
      </c>
      <c r="N18" s="79">
        <v>626.29999999999995</v>
      </c>
      <c r="O18" s="79">
        <v>840.8</v>
      </c>
      <c r="P18" s="79">
        <v>533.5</v>
      </c>
      <c r="Q18" s="79">
        <v>133.19999999999999</v>
      </c>
      <c r="R18" s="79">
        <v>70.900000000000006</v>
      </c>
      <c r="S18" s="79">
        <v>35.9</v>
      </c>
      <c r="T18" s="79">
        <v>38.299999999999997</v>
      </c>
      <c r="U18" s="79">
        <v>22.8</v>
      </c>
      <c r="V18" s="79">
        <v>15.1</v>
      </c>
      <c r="W18" s="79">
        <v>16.100000000000001</v>
      </c>
      <c r="X18" s="79">
        <v>14.9</v>
      </c>
      <c r="Y18" s="79">
        <v>39.9</v>
      </c>
      <c r="Z18" s="79">
        <v>30.9</v>
      </c>
      <c r="AA18" s="79">
        <v>19</v>
      </c>
      <c r="AB18" s="79">
        <v>5.0999999999999996</v>
      </c>
      <c r="AC18" s="79">
        <v>7.8</v>
      </c>
      <c r="AD18" s="79">
        <v>1.6</v>
      </c>
      <c r="AE18" s="79">
        <v>3.8</v>
      </c>
      <c r="AF18" s="79">
        <v>2.7</v>
      </c>
      <c r="AG18" s="79">
        <v>2</v>
      </c>
      <c r="AH18" s="79">
        <v>1.9</v>
      </c>
      <c r="AI18" s="79">
        <v>1.1000000000000001</v>
      </c>
      <c r="AJ18" s="79">
        <v>1.6</v>
      </c>
      <c r="AK18" s="79">
        <v>1.8</v>
      </c>
      <c r="AL18" s="79">
        <v>3</v>
      </c>
      <c r="AM18" s="79">
        <v>26.9</v>
      </c>
      <c r="AN18" s="79">
        <v>41</v>
      </c>
      <c r="AO18" s="79">
        <v>28.3</v>
      </c>
      <c r="AP18" s="79">
        <v>43.1</v>
      </c>
      <c r="AQ18" s="79">
        <v>122.8</v>
      </c>
      <c r="AR18" s="79">
        <v>104.4</v>
      </c>
      <c r="AS18" s="79">
        <v>112</v>
      </c>
      <c r="AT18" s="79">
        <v>161</v>
      </c>
      <c r="AU18" s="79">
        <v>276.2</v>
      </c>
      <c r="AV18" s="79">
        <v>217.4</v>
      </c>
      <c r="AW18" s="79">
        <v>239.2</v>
      </c>
    </row>
    <row r="19" spans="1:49" ht="15.75">
      <c r="A19" s="69" t="s">
        <v>10</v>
      </c>
      <c r="B19" s="78">
        <v>11.6</v>
      </c>
      <c r="C19" s="78">
        <v>6.2</v>
      </c>
      <c r="D19" s="78">
        <v>40.799999999999997</v>
      </c>
      <c r="E19" s="78">
        <v>87.9</v>
      </c>
      <c r="F19" s="78">
        <v>211.3</v>
      </c>
      <c r="G19" s="78">
        <v>214.1</v>
      </c>
      <c r="H19" s="78">
        <v>370.4</v>
      </c>
      <c r="I19" s="78">
        <v>81.2</v>
      </c>
      <c r="J19" s="78">
        <v>560.29999999999995</v>
      </c>
      <c r="K19" s="78">
        <v>516</v>
      </c>
      <c r="L19" s="79">
        <v>555.70000000000005</v>
      </c>
      <c r="M19" s="79">
        <v>600.4</v>
      </c>
      <c r="N19" s="79">
        <v>561.6</v>
      </c>
      <c r="O19" s="79">
        <v>725.5</v>
      </c>
      <c r="P19" s="79">
        <v>863.7</v>
      </c>
      <c r="Q19" s="79">
        <v>562.79999999999995</v>
      </c>
      <c r="R19" s="79">
        <v>76</v>
      </c>
      <c r="S19" s="79">
        <v>44.1</v>
      </c>
      <c r="T19" s="79">
        <v>16.899999999999999</v>
      </c>
      <c r="U19" s="79">
        <v>6.1</v>
      </c>
      <c r="V19" s="79">
        <v>3.9</v>
      </c>
      <c r="W19" s="79">
        <v>4</v>
      </c>
      <c r="X19" s="79">
        <v>16.600000000000001</v>
      </c>
      <c r="Y19" s="79">
        <v>17.600000000000001</v>
      </c>
      <c r="Z19" s="79">
        <v>25.3</v>
      </c>
      <c r="AA19" s="79">
        <v>11.8</v>
      </c>
      <c r="AB19" s="79">
        <v>3</v>
      </c>
      <c r="AC19" s="79">
        <v>3.6</v>
      </c>
      <c r="AD19" s="79">
        <v>1</v>
      </c>
      <c r="AE19" s="79">
        <v>5.6</v>
      </c>
      <c r="AF19" s="79">
        <v>1.5</v>
      </c>
      <c r="AG19" s="79">
        <v>0.8</v>
      </c>
      <c r="AH19" s="79">
        <v>0.3</v>
      </c>
      <c r="AI19" s="79">
        <v>0.7</v>
      </c>
      <c r="AJ19" s="79">
        <v>1.1000000000000001</v>
      </c>
      <c r="AK19" s="79">
        <v>0.6</v>
      </c>
      <c r="AL19" s="79">
        <v>0.6</v>
      </c>
      <c r="AM19" s="79">
        <v>1</v>
      </c>
      <c r="AN19" s="79">
        <v>9.6</v>
      </c>
      <c r="AO19" s="79">
        <v>5.2</v>
      </c>
      <c r="AP19" s="79">
        <v>18.8</v>
      </c>
      <c r="AQ19" s="79">
        <v>35.799999999999997</v>
      </c>
      <c r="AR19" s="79">
        <v>39.6</v>
      </c>
      <c r="AS19" s="79">
        <v>56.4</v>
      </c>
      <c r="AT19" s="79">
        <v>63</v>
      </c>
      <c r="AU19" s="79">
        <v>62.2</v>
      </c>
      <c r="AV19" s="79">
        <v>98.4</v>
      </c>
      <c r="AW19" s="79">
        <v>136.69999999999999</v>
      </c>
    </row>
    <row r="20" spans="1:49" ht="15.75">
      <c r="A20" s="69" t="s">
        <v>35</v>
      </c>
      <c r="B20" s="78">
        <v>0.1</v>
      </c>
      <c r="C20" s="78">
        <v>0.1</v>
      </c>
      <c r="D20" s="78">
        <v>3.4</v>
      </c>
      <c r="E20" s="78">
        <v>2.5</v>
      </c>
      <c r="F20" s="78">
        <v>41.2</v>
      </c>
      <c r="G20" s="78">
        <v>44.2</v>
      </c>
      <c r="H20" s="78">
        <v>170.6</v>
      </c>
      <c r="I20" s="78">
        <v>150.69999999999999</v>
      </c>
      <c r="J20" s="78">
        <v>319.39999999999998</v>
      </c>
      <c r="K20" s="78">
        <v>210</v>
      </c>
      <c r="L20" s="79">
        <v>281.89999999999998</v>
      </c>
      <c r="M20" s="79">
        <v>316.39999999999998</v>
      </c>
      <c r="N20" s="79">
        <v>310.39999999999998</v>
      </c>
      <c r="O20" s="79">
        <v>452</v>
      </c>
      <c r="P20" s="79">
        <v>488.8</v>
      </c>
      <c r="Q20" s="79">
        <v>920.7</v>
      </c>
      <c r="R20" s="79">
        <v>927.1</v>
      </c>
      <c r="S20" s="79">
        <v>124</v>
      </c>
      <c r="T20" s="79">
        <v>46</v>
      </c>
      <c r="U20" s="79">
        <v>9.4</v>
      </c>
      <c r="V20" s="79">
        <v>1.8</v>
      </c>
      <c r="W20" s="79">
        <v>1.5</v>
      </c>
      <c r="X20" s="79">
        <v>8.6999999999999993</v>
      </c>
      <c r="Y20" s="79">
        <v>7.6</v>
      </c>
      <c r="Z20" s="79">
        <v>11</v>
      </c>
      <c r="AA20" s="79">
        <v>9.1999999999999993</v>
      </c>
      <c r="AB20" s="79">
        <v>2.2000000000000002</v>
      </c>
      <c r="AC20" s="79">
        <v>1.6</v>
      </c>
      <c r="AD20" s="79">
        <v>0.6</v>
      </c>
      <c r="AE20" s="79">
        <v>3.2</v>
      </c>
      <c r="AF20" s="79">
        <v>0.3</v>
      </c>
      <c r="AG20" s="79">
        <v>0.3</v>
      </c>
      <c r="AH20" s="79">
        <v>0.2</v>
      </c>
      <c r="AI20" s="79">
        <v>0.2</v>
      </c>
      <c r="AJ20" s="79">
        <v>0.9</v>
      </c>
      <c r="AK20" s="79">
        <v>0.9</v>
      </c>
      <c r="AL20" s="79">
        <v>0.1</v>
      </c>
      <c r="AM20" s="79">
        <v>0.8</v>
      </c>
      <c r="AN20" s="79">
        <v>0.8</v>
      </c>
      <c r="AO20" s="79">
        <v>1.8</v>
      </c>
      <c r="AP20" s="79">
        <v>4.7</v>
      </c>
      <c r="AQ20" s="79">
        <v>12.6</v>
      </c>
      <c r="AR20" s="79">
        <v>17.8</v>
      </c>
      <c r="AS20" s="79">
        <v>20.2</v>
      </c>
      <c r="AT20" s="79">
        <v>15.3</v>
      </c>
      <c r="AU20" s="79">
        <v>18.600000000000001</v>
      </c>
      <c r="AV20" s="79">
        <v>27.2</v>
      </c>
      <c r="AW20" s="79">
        <v>57.2</v>
      </c>
    </row>
    <row r="21" spans="1:49" ht="15.75">
      <c r="A21" s="89" t="s">
        <v>104</v>
      </c>
      <c r="B21" s="74">
        <v>756</v>
      </c>
      <c r="C21" s="74">
        <v>991</v>
      </c>
      <c r="D21" s="74">
        <v>1149</v>
      </c>
      <c r="E21" s="74">
        <v>1089</v>
      </c>
      <c r="F21" s="74">
        <v>1445</v>
      </c>
      <c r="G21" s="74">
        <v>2296</v>
      </c>
      <c r="H21" s="74">
        <v>2419</v>
      </c>
      <c r="I21" s="74">
        <v>2725</v>
      </c>
      <c r="J21" s="74">
        <v>2870</v>
      </c>
      <c r="K21" s="74">
        <v>2644</v>
      </c>
      <c r="L21" s="74">
        <v>2685</v>
      </c>
      <c r="M21" s="74">
        <v>2916</v>
      </c>
      <c r="N21" s="74">
        <v>2838</v>
      </c>
      <c r="O21" s="74">
        <v>2524</v>
      </c>
      <c r="P21" s="74">
        <v>2162</v>
      </c>
      <c r="Q21" s="74">
        <v>1724</v>
      </c>
      <c r="R21" s="74">
        <v>1240</v>
      </c>
      <c r="S21" s="74">
        <v>791</v>
      </c>
      <c r="T21" s="74">
        <v>425</v>
      </c>
      <c r="U21" s="74">
        <v>332</v>
      </c>
      <c r="V21" s="74">
        <v>181</v>
      </c>
      <c r="W21" s="74">
        <v>255</v>
      </c>
      <c r="X21" s="74">
        <v>142</v>
      </c>
      <c r="Y21" s="74">
        <v>308</v>
      </c>
      <c r="Z21" s="74">
        <v>139</v>
      </c>
      <c r="AA21" s="74">
        <v>177</v>
      </c>
      <c r="AB21" s="74">
        <v>49</v>
      </c>
      <c r="AC21" s="74">
        <v>51</v>
      </c>
      <c r="AD21" s="74">
        <v>48</v>
      </c>
      <c r="AE21" s="74">
        <v>25</v>
      </c>
      <c r="AF21" s="74">
        <v>49</v>
      </c>
      <c r="AG21" s="74">
        <v>65</v>
      </c>
      <c r="AH21" s="74">
        <v>27</v>
      </c>
      <c r="AI21" s="74">
        <v>49</v>
      </c>
      <c r="AJ21" s="74">
        <v>65</v>
      </c>
      <c r="AK21" s="74">
        <v>132</v>
      </c>
      <c r="AL21" s="74">
        <v>102</v>
      </c>
      <c r="AM21" s="74">
        <v>130</v>
      </c>
      <c r="AN21" s="74">
        <v>186</v>
      </c>
      <c r="AO21" s="74">
        <v>271</v>
      </c>
      <c r="AP21" s="74">
        <v>327</v>
      </c>
      <c r="AQ21" s="74">
        <v>470</v>
      </c>
      <c r="AR21" s="74">
        <v>543</v>
      </c>
      <c r="AS21" s="74">
        <v>726</v>
      </c>
      <c r="AT21" s="74">
        <v>1034</v>
      </c>
      <c r="AU21" s="74">
        <v>1078</v>
      </c>
      <c r="AV21" s="74">
        <v>1125</v>
      </c>
      <c r="AW21" s="74">
        <v>1354</v>
      </c>
    </row>
    <row r="22" spans="1:49" ht="15.75">
      <c r="A22" s="99" t="s">
        <v>105</v>
      </c>
      <c r="B22" s="80">
        <v>0.19600000000000001</v>
      </c>
      <c r="C22" s="80">
        <v>0.17799999999999999</v>
      </c>
      <c r="D22" s="80">
        <v>0.155</v>
      </c>
      <c r="E22" s="80">
        <v>0.126</v>
      </c>
      <c r="F22" s="80">
        <v>0.108</v>
      </c>
      <c r="G22" s="80">
        <v>0.14899999999999999</v>
      </c>
      <c r="H22" s="80">
        <v>0.153</v>
      </c>
      <c r="I22" s="80">
        <v>0.18</v>
      </c>
      <c r="J22" s="80">
        <v>0.19900000000000001</v>
      </c>
      <c r="K22" s="80">
        <v>0.152</v>
      </c>
      <c r="L22" s="82">
        <v>0.14199999999999999</v>
      </c>
      <c r="M22" s="82">
        <v>0.14899999999999999</v>
      </c>
      <c r="N22" s="82">
        <v>0.16</v>
      </c>
      <c r="O22" s="82">
        <v>0.20200000000000001</v>
      </c>
      <c r="P22" s="82">
        <v>0.27100000000000002</v>
      </c>
      <c r="Q22" s="82">
        <v>0.379</v>
      </c>
      <c r="R22" s="82">
        <v>0.503</v>
      </c>
      <c r="S22" s="82">
        <v>0.53900000000000003</v>
      </c>
      <c r="T22" s="82">
        <v>0.48299999999999998</v>
      </c>
      <c r="U22" s="82">
        <v>0.439</v>
      </c>
      <c r="V22" s="82">
        <v>0.22500000000000001</v>
      </c>
      <c r="W22" s="82">
        <v>0.27900000000000003</v>
      </c>
      <c r="X22" s="82">
        <v>0.19500000000000001</v>
      </c>
      <c r="Y22" s="82">
        <v>0.439</v>
      </c>
      <c r="Z22" s="82">
        <v>0.33800000000000002</v>
      </c>
      <c r="AA22" s="82">
        <v>0.57899999999999996</v>
      </c>
      <c r="AB22" s="82">
        <v>0.311</v>
      </c>
      <c r="AC22" s="82">
        <v>0.42</v>
      </c>
      <c r="AD22" s="82">
        <v>0.441</v>
      </c>
      <c r="AE22" s="82">
        <v>0.28699999999999998</v>
      </c>
      <c r="AF22" s="82">
        <v>0.375</v>
      </c>
      <c r="AG22" s="82">
        <v>0.57899999999999996</v>
      </c>
      <c r="AH22" s="82">
        <v>0.27300000000000002</v>
      </c>
      <c r="AI22" s="82">
        <v>0.38400000000000001</v>
      </c>
      <c r="AJ22" s="82">
        <v>0.21099999999999999</v>
      </c>
      <c r="AK22" s="82">
        <v>0.29699999999999999</v>
      </c>
      <c r="AL22" s="82">
        <v>0.20599999999999999</v>
      </c>
      <c r="AM22" s="82">
        <v>0.218</v>
      </c>
      <c r="AN22" s="82">
        <v>0.184</v>
      </c>
      <c r="AO22" s="82">
        <v>0.21099999999999999</v>
      </c>
      <c r="AP22" s="82">
        <v>0.19400000000000001</v>
      </c>
      <c r="AQ22" s="82">
        <v>0.21099999999999999</v>
      </c>
      <c r="AR22" s="82">
        <v>0.16300000000000001</v>
      </c>
      <c r="AS22" s="82">
        <v>0.17199999999999999</v>
      </c>
      <c r="AT22" s="82">
        <v>0.2</v>
      </c>
      <c r="AU22" s="82">
        <v>0.20499999999999999</v>
      </c>
      <c r="AV22" s="82">
        <v>0.22900000000000001</v>
      </c>
      <c r="AW22" s="82">
        <v>0.318</v>
      </c>
    </row>
    <row r="23" spans="1:49" ht="15.75">
      <c r="A23" s="69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4"/>
      <c r="AH23" s="30"/>
      <c r="AI23" s="83"/>
      <c r="AJ23" s="84"/>
      <c r="AK23" s="30"/>
      <c r="AL23" s="83"/>
      <c r="AM23" s="84"/>
      <c r="AN23" s="30"/>
      <c r="AO23" s="83"/>
      <c r="AP23" s="75"/>
      <c r="AQ23" s="75"/>
      <c r="AR23" s="75"/>
      <c r="AS23" s="75"/>
      <c r="AT23" s="75"/>
      <c r="AU23" s="75"/>
      <c r="AV23" s="75"/>
      <c r="AW23" s="75"/>
    </row>
    <row r="24" spans="1:49" ht="19.5">
      <c r="A24" s="63" t="s">
        <v>106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85"/>
      <c r="AE24" s="85"/>
      <c r="AF24" s="85"/>
      <c r="AG24" s="86"/>
      <c r="AH24" s="63"/>
      <c r="AI24" s="85"/>
      <c r="AJ24" s="86"/>
      <c r="AK24" s="63"/>
      <c r="AL24" s="85"/>
      <c r="AM24" s="86"/>
      <c r="AN24" s="63"/>
      <c r="AO24" s="85"/>
      <c r="AP24" s="63"/>
      <c r="AQ24" s="63"/>
      <c r="AR24" s="63"/>
      <c r="AS24" s="63"/>
      <c r="AT24" s="63"/>
      <c r="AU24" s="63"/>
      <c r="AV24" s="63"/>
      <c r="AW24" s="63"/>
    </row>
    <row r="25" spans="1:49" ht="15.75">
      <c r="A25" s="64" t="s">
        <v>34</v>
      </c>
      <c r="B25" s="65">
        <v>1976</v>
      </c>
      <c r="C25" s="65">
        <v>1977</v>
      </c>
      <c r="D25" s="65">
        <v>1978</v>
      </c>
      <c r="E25" s="65">
        <v>1979</v>
      </c>
      <c r="F25" s="65">
        <v>1980</v>
      </c>
      <c r="G25" s="65">
        <v>1981</v>
      </c>
      <c r="H25" s="65">
        <v>1982</v>
      </c>
      <c r="I25" s="65">
        <v>1983</v>
      </c>
      <c r="J25" s="65">
        <v>1984</v>
      </c>
      <c r="K25" s="65">
        <v>1985</v>
      </c>
      <c r="L25" s="65">
        <v>1986</v>
      </c>
      <c r="M25" s="65">
        <v>1987</v>
      </c>
      <c r="N25" s="65">
        <v>1988</v>
      </c>
      <c r="O25" s="65">
        <v>1989</v>
      </c>
      <c r="P25" s="65">
        <v>1990</v>
      </c>
      <c r="Q25" s="65">
        <v>1991</v>
      </c>
      <c r="R25" s="65">
        <v>1992</v>
      </c>
      <c r="S25" s="65">
        <v>1993</v>
      </c>
      <c r="T25" s="65">
        <v>1994</v>
      </c>
      <c r="U25" s="65">
        <v>1995</v>
      </c>
      <c r="V25" s="65">
        <v>1996</v>
      </c>
      <c r="W25" s="65">
        <v>1997</v>
      </c>
      <c r="X25" s="65">
        <v>1998</v>
      </c>
      <c r="Y25" s="65">
        <v>1999</v>
      </c>
      <c r="Z25" s="65">
        <v>2000</v>
      </c>
      <c r="AA25" s="65">
        <v>2001</v>
      </c>
      <c r="AB25" s="65">
        <v>2002</v>
      </c>
      <c r="AC25" s="65">
        <v>2003</v>
      </c>
      <c r="AD25" s="65">
        <v>2004</v>
      </c>
      <c r="AE25" s="65">
        <v>2005</v>
      </c>
      <c r="AF25" s="65">
        <v>2006</v>
      </c>
      <c r="AG25" s="65">
        <v>2007</v>
      </c>
      <c r="AH25" s="65">
        <v>2008</v>
      </c>
      <c r="AI25" s="65">
        <v>2009</v>
      </c>
      <c r="AJ25" s="65">
        <v>2010</v>
      </c>
      <c r="AK25" s="65">
        <v>2011</v>
      </c>
      <c r="AL25" s="65">
        <v>2012</v>
      </c>
      <c r="AM25" s="65">
        <v>2013</v>
      </c>
      <c r="AN25" s="65">
        <v>2014</v>
      </c>
      <c r="AO25" s="65">
        <v>2015</v>
      </c>
      <c r="AP25" s="65">
        <v>2016</v>
      </c>
      <c r="AQ25" s="65">
        <v>2017</v>
      </c>
      <c r="AR25" s="65">
        <v>2018</v>
      </c>
      <c r="AS25" s="65">
        <v>2019</v>
      </c>
      <c r="AT25" s="65">
        <v>2020</v>
      </c>
      <c r="AU25" s="65">
        <v>2021</v>
      </c>
      <c r="AV25" s="65">
        <v>2022</v>
      </c>
      <c r="AW25" s="65">
        <v>2023</v>
      </c>
    </row>
    <row r="26" spans="1:49" ht="15.75">
      <c r="A26" s="69" t="s">
        <v>6</v>
      </c>
      <c r="B26" s="87">
        <v>0.06</v>
      </c>
      <c r="C26" s="87">
        <v>0.05</v>
      </c>
      <c r="D26" s="87">
        <v>0.04</v>
      </c>
      <c r="E26" s="87">
        <v>0.09</v>
      </c>
      <c r="F26" s="87">
        <v>0.06</v>
      </c>
      <c r="G26" s="87">
        <v>0.04</v>
      </c>
      <c r="H26" s="87">
        <v>0.03</v>
      </c>
      <c r="I26" s="87">
        <v>0.02</v>
      </c>
      <c r="J26" s="87">
        <v>0.06</v>
      </c>
      <c r="K26" s="87">
        <v>0.08</v>
      </c>
      <c r="L26" s="88">
        <v>0.01</v>
      </c>
      <c r="M26" s="88">
        <v>0.11</v>
      </c>
      <c r="N26" s="88">
        <v>0.1</v>
      </c>
      <c r="O26" s="88">
        <v>0.35</v>
      </c>
      <c r="P26" s="88">
        <v>0.39</v>
      </c>
      <c r="Q26" s="88">
        <v>0.12</v>
      </c>
      <c r="R26" s="88">
        <v>0.2</v>
      </c>
      <c r="S26" s="88">
        <v>0.33</v>
      </c>
      <c r="T26" s="88">
        <v>0.45</v>
      </c>
      <c r="U26" s="88">
        <v>0.4</v>
      </c>
      <c r="V26" s="88">
        <v>0.31</v>
      </c>
      <c r="W26" s="88">
        <v>0.12</v>
      </c>
      <c r="X26" s="88">
        <v>0.08</v>
      </c>
      <c r="Y26" s="88">
        <v>0.03</v>
      </c>
      <c r="Z26" s="88">
        <v>0.32</v>
      </c>
      <c r="AA26" s="88">
        <v>0.46</v>
      </c>
      <c r="AB26" s="88">
        <v>0.02</v>
      </c>
      <c r="AC26" s="88">
        <v>0.18</v>
      </c>
      <c r="AD26" s="88">
        <v>0.72</v>
      </c>
      <c r="AE26" s="88">
        <v>0.18</v>
      </c>
      <c r="AF26" s="88">
        <v>0.19</v>
      </c>
      <c r="AG26" s="88">
        <v>1.04</v>
      </c>
      <c r="AH26" s="88">
        <v>0.26</v>
      </c>
      <c r="AI26" s="88">
        <v>0.12</v>
      </c>
      <c r="AJ26" s="88">
        <v>0.04</v>
      </c>
      <c r="AK26" s="88">
        <v>0.18</v>
      </c>
      <c r="AL26" s="88">
        <v>0.1</v>
      </c>
      <c r="AM26" s="88">
        <v>0.06</v>
      </c>
      <c r="AN26" s="88">
        <v>0.16</v>
      </c>
      <c r="AO26" s="88">
        <v>0.31</v>
      </c>
      <c r="AP26" s="88">
        <v>0.2</v>
      </c>
      <c r="AQ26" s="88">
        <v>0.19</v>
      </c>
      <c r="AR26" s="88">
        <v>0.12</v>
      </c>
      <c r="AS26" s="88">
        <v>0.06</v>
      </c>
      <c r="AT26" s="88">
        <v>0.09</v>
      </c>
      <c r="AU26" s="88">
        <v>0.15</v>
      </c>
      <c r="AV26" s="88">
        <v>0.32</v>
      </c>
      <c r="AW26" s="88">
        <v>0.39</v>
      </c>
    </row>
    <row r="27" spans="1:49" ht="15.75">
      <c r="A27" s="69" t="s">
        <v>7</v>
      </c>
      <c r="B27" s="87">
        <v>0.35</v>
      </c>
      <c r="C27" s="87">
        <v>0.19</v>
      </c>
      <c r="D27" s="87">
        <v>0.18</v>
      </c>
      <c r="E27" s="87">
        <v>0.09</v>
      </c>
      <c r="F27" s="87">
        <v>7.0000000000000007E-2</v>
      </c>
      <c r="G27" s="87">
        <v>0.28000000000000003</v>
      </c>
      <c r="H27" s="87">
        <v>0.1</v>
      </c>
      <c r="I27" s="87">
        <v>0.06</v>
      </c>
      <c r="J27" s="87">
        <v>0.14000000000000001</v>
      </c>
      <c r="K27" s="87">
        <v>0.12</v>
      </c>
      <c r="L27" s="88">
        <v>0.14000000000000001</v>
      </c>
      <c r="M27" s="88">
        <v>0.05</v>
      </c>
      <c r="N27" s="88">
        <v>0.18</v>
      </c>
      <c r="O27" s="88">
        <v>0.11</v>
      </c>
      <c r="P27" s="88">
        <v>0.47</v>
      </c>
      <c r="Q27" s="88">
        <v>0.36</v>
      </c>
      <c r="R27" s="88">
        <v>0.62</v>
      </c>
      <c r="S27" s="88">
        <v>1.29</v>
      </c>
      <c r="T27" s="88">
        <v>0.57999999999999996</v>
      </c>
      <c r="U27" s="88">
        <v>0.94</v>
      </c>
      <c r="V27" s="88">
        <v>0.28000000000000003</v>
      </c>
      <c r="W27" s="88">
        <v>0.67</v>
      </c>
      <c r="X27" s="88">
        <v>0.3</v>
      </c>
      <c r="Y27" s="88">
        <v>1.19</v>
      </c>
      <c r="Z27" s="88">
        <v>0.2</v>
      </c>
      <c r="AA27" s="88">
        <v>1.41</v>
      </c>
      <c r="AB27" s="88">
        <v>0.8</v>
      </c>
      <c r="AC27" s="88">
        <v>0.99</v>
      </c>
      <c r="AD27" s="88">
        <v>1.45</v>
      </c>
      <c r="AE27" s="88">
        <v>0.54</v>
      </c>
      <c r="AF27" s="88">
        <v>0.75</v>
      </c>
      <c r="AG27" s="88">
        <v>1.43</v>
      </c>
      <c r="AH27" s="88">
        <v>1.04</v>
      </c>
      <c r="AI27" s="88">
        <v>0.94</v>
      </c>
      <c r="AJ27" s="88">
        <v>1.03</v>
      </c>
      <c r="AK27" s="88">
        <v>0.68</v>
      </c>
      <c r="AL27" s="88">
        <v>0.27</v>
      </c>
      <c r="AM27" s="88">
        <v>0.28999999999999998</v>
      </c>
      <c r="AN27" s="88">
        <v>0.17</v>
      </c>
      <c r="AO27" s="88">
        <v>0.33</v>
      </c>
      <c r="AP27" s="88">
        <v>0.2</v>
      </c>
      <c r="AQ27" s="88">
        <v>0.14000000000000001</v>
      </c>
      <c r="AR27" s="88">
        <v>0.14000000000000001</v>
      </c>
      <c r="AS27" s="88">
        <v>0.12</v>
      </c>
      <c r="AT27" s="88">
        <v>0.13</v>
      </c>
      <c r="AU27" s="88">
        <v>0.13</v>
      </c>
      <c r="AV27" s="88">
        <v>0.21</v>
      </c>
      <c r="AW27" s="88">
        <v>0.36</v>
      </c>
    </row>
    <row r="28" spans="1:49" ht="15.75">
      <c r="A28" s="69" t="s">
        <v>8</v>
      </c>
      <c r="B28" s="87">
        <v>0.56999999999999995</v>
      </c>
      <c r="C28" s="87">
        <v>0.55000000000000004</v>
      </c>
      <c r="D28" s="87">
        <v>0.32</v>
      </c>
      <c r="E28" s="87">
        <v>0.19</v>
      </c>
      <c r="F28" s="87">
        <v>0.13</v>
      </c>
      <c r="G28" s="87">
        <v>0.16</v>
      </c>
      <c r="H28" s="87">
        <v>0.35</v>
      </c>
      <c r="I28" s="87">
        <v>0.28000000000000003</v>
      </c>
      <c r="J28" s="87">
        <v>0.17</v>
      </c>
      <c r="K28" s="87">
        <v>0.17</v>
      </c>
      <c r="L28" s="88">
        <v>0.14000000000000001</v>
      </c>
      <c r="M28" s="88">
        <v>0.21</v>
      </c>
      <c r="N28" s="88">
        <v>0.15</v>
      </c>
      <c r="O28" s="88">
        <v>0.17</v>
      </c>
      <c r="P28" s="88">
        <v>0.49</v>
      </c>
      <c r="Q28" s="88">
        <v>0.36</v>
      </c>
      <c r="R28" s="88">
        <v>0.36</v>
      </c>
      <c r="S28" s="88">
        <v>0.41</v>
      </c>
      <c r="T28" s="88">
        <v>1.56</v>
      </c>
      <c r="U28" s="88">
        <v>1.1499999999999999</v>
      </c>
      <c r="V28" s="88">
        <v>0.37</v>
      </c>
      <c r="W28" s="88">
        <v>0.4</v>
      </c>
      <c r="X28" s="88">
        <v>0.31</v>
      </c>
      <c r="Y28" s="88">
        <v>0.9</v>
      </c>
      <c r="Z28" s="88">
        <v>0.68</v>
      </c>
      <c r="AA28" s="88">
        <v>1.39</v>
      </c>
      <c r="AB28" s="88">
        <v>0.56999999999999995</v>
      </c>
      <c r="AC28" s="88">
        <v>0.67</v>
      </c>
      <c r="AD28" s="88">
        <v>0.56999999999999995</v>
      </c>
      <c r="AE28" s="88">
        <v>0.31</v>
      </c>
      <c r="AF28" s="88">
        <v>0.62</v>
      </c>
      <c r="AG28" s="88">
        <v>1.35</v>
      </c>
      <c r="AH28" s="88">
        <v>0.5</v>
      </c>
      <c r="AI28" s="88">
        <v>0.6</v>
      </c>
      <c r="AJ28" s="88">
        <v>1.48</v>
      </c>
      <c r="AK28" s="88">
        <v>0.71</v>
      </c>
      <c r="AL28" s="88">
        <v>0.63</v>
      </c>
      <c r="AM28" s="88">
        <v>0.52</v>
      </c>
      <c r="AN28" s="88">
        <v>0.34</v>
      </c>
      <c r="AO28" s="88">
        <v>0.19</v>
      </c>
      <c r="AP28" s="88">
        <v>0.38</v>
      </c>
      <c r="AQ28" s="88">
        <v>0.36</v>
      </c>
      <c r="AR28" s="88">
        <v>0.39</v>
      </c>
      <c r="AS28" s="88">
        <v>0.6</v>
      </c>
      <c r="AT28" s="88">
        <v>0.59</v>
      </c>
      <c r="AU28" s="88">
        <v>0.48</v>
      </c>
      <c r="AV28" s="88">
        <v>0.28999999999999998</v>
      </c>
      <c r="AW28" s="88">
        <v>0.8</v>
      </c>
    </row>
    <row r="29" spans="1:49" ht="15.75">
      <c r="A29" s="69" t="s">
        <v>9</v>
      </c>
      <c r="B29" s="87">
        <v>1.06</v>
      </c>
      <c r="C29" s="87">
        <v>1.31</v>
      </c>
      <c r="D29" s="87">
        <v>0.68</v>
      </c>
      <c r="E29" s="87">
        <v>0.44</v>
      </c>
      <c r="F29" s="87">
        <v>0.41</v>
      </c>
      <c r="G29" s="87">
        <v>0.23</v>
      </c>
      <c r="H29" s="87">
        <v>0.31</v>
      </c>
      <c r="I29" s="87">
        <v>0.81</v>
      </c>
      <c r="J29" s="87">
        <v>0.56000000000000005</v>
      </c>
      <c r="K29" s="87">
        <v>0.42</v>
      </c>
      <c r="L29" s="88">
        <v>0.3</v>
      </c>
      <c r="M29" s="88">
        <v>0.38</v>
      </c>
      <c r="N29" s="88">
        <v>0.24</v>
      </c>
      <c r="O29" s="88">
        <v>0.24</v>
      </c>
      <c r="P29" s="88">
        <v>0.32</v>
      </c>
      <c r="Q29" s="88">
        <v>0.68</v>
      </c>
      <c r="R29" s="88">
        <v>0.69</v>
      </c>
      <c r="S29" s="88">
        <v>0.84</v>
      </c>
      <c r="T29" s="88">
        <v>1.45</v>
      </c>
      <c r="U29" s="88">
        <v>0.92</v>
      </c>
      <c r="V29" s="88">
        <v>0.41</v>
      </c>
      <c r="W29" s="88">
        <v>0.32</v>
      </c>
      <c r="X29" s="88">
        <v>0.27</v>
      </c>
      <c r="Y29" s="88">
        <v>0.62</v>
      </c>
      <c r="Z29" s="88">
        <v>0.99</v>
      </c>
      <c r="AA29" s="88">
        <v>1.38</v>
      </c>
      <c r="AB29" s="88">
        <v>0.5</v>
      </c>
      <c r="AC29" s="88">
        <v>0.94</v>
      </c>
      <c r="AD29" s="88">
        <v>0.16</v>
      </c>
      <c r="AE29" s="88">
        <v>0.83</v>
      </c>
      <c r="AF29" s="88">
        <v>0.84</v>
      </c>
      <c r="AG29" s="88">
        <v>0.91</v>
      </c>
      <c r="AH29" s="88">
        <v>0.4</v>
      </c>
      <c r="AI29" s="88">
        <v>0.34</v>
      </c>
      <c r="AJ29" s="88">
        <v>0.85</v>
      </c>
      <c r="AK29" s="88">
        <v>0.46</v>
      </c>
      <c r="AL29" s="88">
        <v>0.7</v>
      </c>
      <c r="AM29" s="88">
        <v>0.79</v>
      </c>
      <c r="AN29" s="88">
        <v>1.03</v>
      </c>
      <c r="AO29" s="88">
        <v>0.34</v>
      </c>
      <c r="AP29" s="88">
        <v>0.39</v>
      </c>
      <c r="AQ29" s="88">
        <v>0.8</v>
      </c>
      <c r="AR29" s="88">
        <v>0.67</v>
      </c>
      <c r="AS29" s="88">
        <v>0.62</v>
      </c>
      <c r="AT29" s="88">
        <v>0.77</v>
      </c>
      <c r="AU29" s="88">
        <v>0.8</v>
      </c>
      <c r="AV29" s="88">
        <v>0.63</v>
      </c>
      <c r="AW29" s="88">
        <v>0.32</v>
      </c>
    </row>
    <row r="30" spans="1:49" ht="15.75">
      <c r="A30" s="69" t="s">
        <v>10</v>
      </c>
      <c r="B30" s="87">
        <v>3.5</v>
      </c>
      <c r="C30" s="87">
        <v>0.76</v>
      </c>
      <c r="D30" s="87">
        <v>1.94</v>
      </c>
      <c r="E30" s="87">
        <v>0.61</v>
      </c>
      <c r="F30" s="87">
        <v>0.76</v>
      </c>
      <c r="G30" s="87">
        <v>0.33</v>
      </c>
      <c r="H30" s="87">
        <v>0.45</v>
      </c>
      <c r="I30" s="87">
        <v>0.27</v>
      </c>
      <c r="J30" s="87">
        <v>0.96</v>
      </c>
      <c r="K30" s="87">
        <v>0.71</v>
      </c>
      <c r="L30" s="88">
        <v>0.61</v>
      </c>
      <c r="M30" s="88">
        <v>0.56999999999999995</v>
      </c>
      <c r="N30" s="88">
        <v>0.45</v>
      </c>
      <c r="O30" s="88">
        <v>0.47</v>
      </c>
      <c r="P30" s="88">
        <v>0.43</v>
      </c>
      <c r="Q30" s="88">
        <v>0.66</v>
      </c>
      <c r="R30" s="88">
        <v>1.68</v>
      </c>
      <c r="S30" s="88">
        <v>1.0900000000000001</v>
      </c>
      <c r="T30" s="88">
        <v>1.45</v>
      </c>
      <c r="U30" s="88">
        <v>1.05</v>
      </c>
      <c r="V30" s="88">
        <v>0.39</v>
      </c>
      <c r="W30" s="88">
        <v>0.19</v>
      </c>
      <c r="X30" s="88">
        <v>0.85</v>
      </c>
      <c r="Y30" s="88">
        <v>0.81</v>
      </c>
      <c r="Z30" s="88">
        <v>1.24</v>
      </c>
      <c r="AA30" s="88">
        <v>1.65</v>
      </c>
      <c r="AB30" s="88">
        <v>0.92</v>
      </c>
      <c r="AC30" s="88">
        <v>0.92</v>
      </c>
      <c r="AD30" s="88">
        <v>0.33</v>
      </c>
      <c r="AE30" s="88">
        <v>2.4500000000000002</v>
      </c>
      <c r="AF30" s="88">
        <v>1.24</v>
      </c>
      <c r="AG30" s="88">
        <v>1.02</v>
      </c>
      <c r="AH30" s="88">
        <v>0.32</v>
      </c>
      <c r="AI30" s="88">
        <v>0.3</v>
      </c>
      <c r="AJ30" s="88">
        <v>0.8</v>
      </c>
      <c r="AK30" s="88">
        <v>1.6</v>
      </c>
      <c r="AL30" s="88">
        <v>0.28999999999999998</v>
      </c>
      <c r="AM30" s="88">
        <v>0.62</v>
      </c>
      <c r="AN30" s="88">
        <v>0.84</v>
      </c>
      <c r="AO30" s="88">
        <v>0.37</v>
      </c>
      <c r="AP30" s="88">
        <v>0.55000000000000004</v>
      </c>
      <c r="AQ30" s="88">
        <v>0.72</v>
      </c>
      <c r="AR30" s="88">
        <v>0.87</v>
      </c>
      <c r="AS30" s="88">
        <v>1.22</v>
      </c>
      <c r="AT30" s="88">
        <v>0.99</v>
      </c>
      <c r="AU30" s="88">
        <v>0.79</v>
      </c>
      <c r="AV30" s="88">
        <v>0.72</v>
      </c>
      <c r="AW30" s="88">
        <v>0.9</v>
      </c>
    </row>
    <row r="31" spans="1:49" ht="15.75">
      <c r="A31" s="69" t="s">
        <v>35</v>
      </c>
      <c r="B31" s="87">
        <v>3.5</v>
      </c>
      <c r="C31" s="87">
        <v>0.76</v>
      </c>
      <c r="D31" s="87">
        <v>1.94</v>
      </c>
      <c r="E31" s="87">
        <v>0.61</v>
      </c>
      <c r="F31" s="87">
        <v>0.76</v>
      </c>
      <c r="G31" s="87">
        <v>0.33</v>
      </c>
      <c r="H31" s="87">
        <v>0.45</v>
      </c>
      <c r="I31" s="87">
        <v>0.27</v>
      </c>
      <c r="J31" s="87">
        <v>0.96</v>
      </c>
      <c r="K31" s="87">
        <v>0.71</v>
      </c>
      <c r="L31" s="88">
        <v>0.61</v>
      </c>
      <c r="M31" s="88">
        <v>0.56999999999999995</v>
      </c>
      <c r="N31" s="88">
        <v>0.45</v>
      </c>
      <c r="O31" s="88">
        <v>0.47</v>
      </c>
      <c r="P31" s="88">
        <v>0.43</v>
      </c>
      <c r="Q31" s="88">
        <v>0.66</v>
      </c>
      <c r="R31" s="88">
        <v>1.68</v>
      </c>
      <c r="S31" s="88">
        <v>1.0900000000000001</v>
      </c>
      <c r="T31" s="88">
        <v>1.45</v>
      </c>
      <c r="U31" s="88">
        <v>1.05</v>
      </c>
      <c r="V31" s="88">
        <v>0.39</v>
      </c>
      <c r="W31" s="88">
        <v>0.19</v>
      </c>
      <c r="X31" s="88">
        <v>0.85</v>
      </c>
      <c r="Y31" s="88">
        <v>0.81</v>
      </c>
      <c r="Z31" s="88">
        <v>1.24</v>
      </c>
      <c r="AA31" s="88">
        <v>1.65</v>
      </c>
      <c r="AB31" s="88">
        <v>0.92</v>
      </c>
      <c r="AC31" s="88">
        <v>0.92</v>
      </c>
      <c r="AD31" s="88">
        <v>0.33</v>
      </c>
      <c r="AE31" s="88">
        <v>2.4500000000000002</v>
      </c>
      <c r="AF31" s="88">
        <v>1.24</v>
      </c>
      <c r="AG31" s="88">
        <v>1.02</v>
      </c>
      <c r="AH31" s="88">
        <v>0.32</v>
      </c>
      <c r="AI31" s="88">
        <v>0.3</v>
      </c>
      <c r="AJ31" s="88">
        <v>0.8</v>
      </c>
      <c r="AK31" s="88">
        <v>1.6</v>
      </c>
      <c r="AL31" s="88">
        <v>0.28999999999999998</v>
      </c>
      <c r="AM31" s="88">
        <v>0.62</v>
      </c>
      <c r="AN31" s="88">
        <v>0.84</v>
      </c>
      <c r="AO31" s="88">
        <v>0.37</v>
      </c>
      <c r="AP31" s="88">
        <v>0.55000000000000004</v>
      </c>
      <c r="AQ31" s="88">
        <v>0.72</v>
      </c>
      <c r="AR31" s="88">
        <v>0.87</v>
      </c>
      <c r="AS31" s="88">
        <v>1.22</v>
      </c>
      <c r="AT31" s="88">
        <v>0.99</v>
      </c>
      <c r="AU31" s="88">
        <v>0.79</v>
      </c>
      <c r="AV31" s="88">
        <v>0.72</v>
      </c>
      <c r="AW31" s="88">
        <v>0.9</v>
      </c>
    </row>
    <row r="32" spans="1:49" ht="15.75">
      <c r="A32" s="89" t="s">
        <v>11</v>
      </c>
      <c r="B32" s="90">
        <v>29.25</v>
      </c>
      <c r="C32" s="90">
        <v>34.76</v>
      </c>
      <c r="D32" s="90">
        <v>40.04</v>
      </c>
      <c r="E32" s="90">
        <v>49.45</v>
      </c>
      <c r="F32" s="90">
        <v>52.89</v>
      </c>
      <c r="G32" s="90">
        <v>49.27</v>
      </c>
      <c r="H32" s="90">
        <v>46.3</v>
      </c>
      <c r="I32" s="90">
        <v>47.74</v>
      </c>
      <c r="J32" s="90">
        <v>42.46</v>
      </c>
      <c r="K32" s="90">
        <v>44.66</v>
      </c>
      <c r="L32" s="90">
        <v>50.87</v>
      </c>
      <c r="M32" s="90">
        <v>47.25</v>
      </c>
      <c r="N32" s="90">
        <v>48.89</v>
      </c>
      <c r="O32" s="90">
        <v>39.11</v>
      </c>
      <c r="P32" s="90">
        <v>22.46</v>
      </c>
      <c r="Q32" s="90">
        <v>33.979999999999997</v>
      </c>
      <c r="R32" s="90">
        <v>23.71</v>
      </c>
      <c r="S32" s="90">
        <v>10.51</v>
      </c>
      <c r="T32" s="90">
        <v>13.65</v>
      </c>
      <c r="U32" s="90">
        <v>10.74</v>
      </c>
      <c r="V32" s="90">
        <v>31.28</v>
      </c>
      <c r="W32" s="90">
        <v>29.68</v>
      </c>
      <c r="X32" s="90">
        <v>43.59</v>
      </c>
      <c r="Y32" s="90">
        <v>22.57</v>
      </c>
      <c r="Z32" s="91">
        <v>28.64</v>
      </c>
      <c r="AA32" s="91">
        <v>11.44</v>
      </c>
      <c r="AB32" s="91">
        <v>28.88</v>
      </c>
      <c r="AC32" s="91">
        <v>21.03</v>
      </c>
      <c r="AD32" s="91">
        <v>12.02</v>
      </c>
      <c r="AE32" s="91">
        <v>27.3</v>
      </c>
      <c r="AF32" s="91">
        <v>28.19</v>
      </c>
      <c r="AG32" s="91">
        <v>6.85</v>
      </c>
      <c r="AH32" s="91">
        <v>20.53</v>
      </c>
      <c r="AI32" s="91">
        <v>27.5</v>
      </c>
      <c r="AJ32" s="91">
        <v>25.17</v>
      </c>
      <c r="AK32" s="91">
        <v>27.05</v>
      </c>
      <c r="AL32" s="91">
        <v>35.86</v>
      </c>
      <c r="AM32" s="91">
        <v>35.83</v>
      </c>
      <c r="AN32" s="91">
        <v>38</v>
      </c>
      <c r="AO32" s="91">
        <v>36.270000000000003</v>
      </c>
      <c r="AP32" s="91">
        <v>37.07</v>
      </c>
      <c r="AQ32" s="91">
        <v>36.409999999999997</v>
      </c>
      <c r="AR32" s="91">
        <v>37.5</v>
      </c>
      <c r="AS32" s="91">
        <v>35.340000000000003</v>
      </c>
      <c r="AT32" s="91">
        <v>32.5</v>
      </c>
      <c r="AU32" s="91">
        <v>32.39</v>
      </c>
      <c r="AV32" s="91">
        <v>28.66</v>
      </c>
      <c r="AW32" s="91">
        <v>21.13</v>
      </c>
    </row>
    <row r="33" spans="1:49" ht="15.75">
      <c r="A33" s="89" t="s">
        <v>12</v>
      </c>
      <c r="B33" s="90">
        <v>1.74</v>
      </c>
      <c r="C33" s="90">
        <v>1.29</v>
      </c>
      <c r="D33" s="90">
        <v>1</v>
      </c>
      <c r="E33" s="90">
        <v>0.66</v>
      </c>
      <c r="F33" s="90">
        <v>0.52</v>
      </c>
      <c r="G33" s="90">
        <v>0.73</v>
      </c>
      <c r="H33" s="90">
        <v>0.78</v>
      </c>
      <c r="I33" s="90">
        <v>0.7</v>
      </c>
      <c r="J33" s="90">
        <v>0.88</v>
      </c>
      <c r="K33" s="90">
        <v>0.81</v>
      </c>
      <c r="L33" s="90">
        <v>0.61</v>
      </c>
      <c r="M33" s="90">
        <v>0.73</v>
      </c>
      <c r="N33" s="90">
        <v>0.72</v>
      </c>
      <c r="O33" s="90">
        <v>1.03</v>
      </c>
      <c r="P33" s="90">
        <v>1.77</v>
      </c>
      <c r="Q33" s="90">
        <v>1.25</v>
      </c>
      <c r="R33" s="90">
        <v>1.91</v>
      </c>
      <c r="S33" s="90">
        <v>3.07</v>
      </c>
      <c r="T33" s="90">
        <v>3.28</v>
      </c>
      <c r="U33" s="90">
        <v>3.32</v>
      </c>
      <c r="V33" s="90">
        <v>1.33</v>
      </c>
      <c r="W33" s="90">
        <v>1.38</v>
      </c>
      <c r="X33" s="90">
        <v>0.86</v>
      </c>
      <c r="Y33" s="90">
        <v>2.17</v>
      </c>
      <c r="Z33" s="91">
        <v>1.65</v>
      </c>
      <c r="AA33" s="91">
        <v>3.87</v>
      </c>
      <c r="AB33" s="91">
        <v>1.6</v>
      </c>
      <c r="AC33" s="91">
        <v>2.2400000000000002</v>
      </c>
      <c r="AD33" s="91">
        <v>2.68</v>
      </c>
      <c r="AE33" s="91">
        <v>1.78</v>
      </c>
      <c r="AF33" s="91">
        <v>1.65</v>
      </c>
      <c r="AG33" s="91">
        <v>4.0599999999999996</v>
      </c>
      <c r="AH33" s="91">
        <v>1.96</v>
      </c>
      <c r="AI33" s="91">
        <v>1.57</v>
      </c>
      <c r="AJ33" s="91">
        <v>2.02</v>
      </c>
      <c r="AK33" s="91">
        <v>1.69</v>
      </c>
      <c r="AL33" s="91">
        <v>1.17</v>
      </c>
      <c r="AM33" s="91">
        <v>1.2</v>
      </c>
      <c r="AN33" s="91">
        <v>1.1000000000000001</v>
      </c>
      <c r="AO33" s="91">
        <v>1.1299999999999999</v>
      </c>
      <c r="AP33" s="91">
        <v>1.1100000000000001</v>
      </c>
      <c r="AQ33" s="91">
        <v>1.1599999999999999</v>
      </c>
      <c r="AR33" s="91">
        <v>1.1200000000000001</v>
      </c>
      <c r="AS33" s="91">
        <v>1.26</v>
      </c>
      <c r="AT33" s="91">
        <v>1.43</v>
      </c>
      <c r="AU33" s="91">
        <v>1.4</v>
      </c>
      <c r="AV33" s="91">
        <v>1.54</v>
      </c>
      <c r="AW33" s="91">
        <v>2.0499999999999998</v>
      </c>
    </row>
    <row r="34" spans="1:49" ht="15.75">
      <c r="A34" s="92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</row>
    <row r="35" spans="1:49" ht="15.75">
      <c r="A35" s="63" t="s">
        <v>107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</row>
    <row r="36" spans="1:49" ht="15.75">
      <c r="A36" s="64" t="s">
        <v>34</v>
      </c>
      <c r="B36" s="65">
        <v>1976</v>
      </c>
      <c r="C36" s="65">
        <v>1977</v>
      </c>
      <c r="D36" s="65">
        <v>1978</v>
      </c>
      <c r="E36" s="65">
        <v>1979</v>
      </c>
      <c r="F36" s="65">
        <v>1980</v>
      </c>
      <c r="G36" s="65">
        <v>1981</v>
      </c>
      <c r="H36" s="65">
        <v>1982</v>
      </c>
      <c r="I36" s="65">
        <v>1983</v>
      </c>
      <c r="J36" s="65">
        <v>1984</v>
      </c>
      <c r="K36" s="65">
        <v>1985</v>
      </c>
      <c r="L36" s="65">
        <v>1986</v>
      </c>
      <c r="M36" s="65">
        <v>1987</v>
      </c>
      <c r="N36" s="65">
        <v>1988</v>
      </c>
      <c r="O36" s="65">
        <v>1989</v>
      </c>
      <c r="P36" s="65">
        <v>1990</v>
      </c>
      <c r="Q36" s="65">
        <v>1991</v>
      </c>
      <c r="R36" s="65">
        <v>1992</v>
      </c>
      <c r="S36" s="65">
        <v>1993</v>
      </c>
      <c r="T36" s="65">
        <v>1994</v>
      </c>
      <c r="U36" s="65">
        <v>1995</v>
      </c>
      <c r="V36" s="65">
        <v>1996</v>
      </c>
      <c r="W36" s="65">
        <v>1997</v>
      </c>
      <c r="X36" s="65">
        <v>1998</v>
      </c>
      <c r="Y36" s="65">
        <v>1999</v>
      </c>
      <c r="Z36" s="65">
        <v>2000</v>
      </c>
      <c r="AA36" s="65">
        <v>2001</v>
      </c>
      <c r="AB36" s="65">
        <v>2002</v>
      </c>
      <c r="AC36" s="65">
        <v>2003</v>
      </c>
      <c r="AD36" s="65">
        <v>2004</v>
      </c>
      <c r="AE36" s="65">
        <v>2005</v>
      </c>
      <c r="AF36" s="65">
        <v>2006</v>
      </c>
      <c r="AG36" s="65">
        <v>2007</v>
      </c>
      <c r="AH36" s="65">
        <v>2008</v>
      </c>
      <c r="AI36" s="65">
        <v>2009</v>
      </c>
      <c r="AJ36" s="65">
        <v>2010</v>
      </c>
      <c r="AK36" s="65">
        <v>2011</v>
      </c>
      <c r="AL36" s="65">
        <v>2012</v>
      </c>
      <c r="AM36" s="65">
        <v>2013</v>
      </c>
      <c r="AN36" s="65">
        <v>2014</v>
      </c>
      <c r="AO36" s="65">
        <v>2015</v>
      </c>
      <c r="AP36" s="65">
        <v>2016</v>
      </c>
      <c r="AQ36" s="65">
        <v>2017</v>
      </c>
      <c r="AR36" s="65">
        <v>2018</v>
      </c>
      <c r="AS36" s="65">
        <v>2019</v>
      </c>
      <c r="AT36" s="65">
        <v>2020</v>
      </c>
      <c r="AU36" s="65">
        <v>2021</v>
      </c>
      <c r="AV36" s="65">
        <v>2022</v>
      </c>
      <c r="AW36" s="65">
        <v>2023</v>
      </c>
    </row>
    <row r="37" spans="1:49" ht="15.75">
      <c r="A37" s="69" t="s">
        <v>6</v>
      </c>
      <c r="B37" s="77">
        <v>55898</v>
      </c>
      <c r="C37" s="77">
        <v>92251</v>
      </c>
      <c r="D37" s="77">
        <v>94204</v>
      </c>
      <c r="E37" s="77">
        <v>41921</v>
      </c>
      <c r="F37" s="77">
        <v>292971</v>
      </c>
      <c r="G37" s="77">
        <v>197812</v>
      </c>
      <c r="H37" s="77">
        <v>156249</v>
      </c>
      <c r="I37" s="77">
        <v>180202</v>
      </c>
      <c r="J37" s="77">
        <v>212801</v>
      </c>
      <c r="K37" s="77">
        <v>247911</v>
      </c>
      <c r="L37" s="93">
        <v>259954</v>
      </c>
      <c r="M37" s="93">
        <v>156475</v>
      </c>
      <c r="N37" s="93">
        <v>22847</v>
      </c>
      <c r="O37" s="93">
        <v>19437</v>
      </c>
      <c r="P37" s="93">
        <v>6923</v>
      </c>
      <c r="Q37" s="93">
        <v>5308</v>
      </c>
      <c r="R37" s="93">
        <v>27329</v>
      </c>
      <c r="S37" s="93">
        <v>12127</v>
      </c>
      <c r="T37" s="93">
        <v>11889</v>
      </c>
      <c r="U37" s="93">
        <v>7312</v>
      </c>
      <c r="V37" s="93">
        <v>13445</v>
      </c>
      <c r="W37" s="93">
        <v>7777</v>
      </c>
      <c r="X37" s="93">
        <v>7388</v>
      </c>
      <c r="Y37" s="93">
        <v>2580</v>
      </c>
      <c r="Z37" s="93">
        <v>4838</v>
      </c>
      <c r="AA37" s="93">
        <v>2483</v>
      </c>
      <c r="AB37" s="93">
        <v>1220</v>
      </c>
      <c r="AC37" s="93">
        <v>1134</v>
      </c>
      <c r="AD37" s="93">
        <v>895</v>
      </c>
      <c r="AE37" s="93">
        <v>1918</v>
      </c>
      <c r="AF37" s="93">
        <v>1240</v>
      </c>
      <c r="AG37" s="93">
        <v>1419</v>
      </c>
      <c r="AH37" s="93">
        <v>2415</v>
      </c>
      <c r="AI37" s="93">
        <v>1294</v>
      </c>
      <c r="AJ37" s="93">
        <v>6810</v>
      </c>
      <c r="AK37" s="93">
        <v>5710</v>
      </c>
      <c r="AL37" s="93">
        <v>6500</v>
      </c>
      <c r="AM37" s="93">
        <v>7323</v>
      </c>
      <c r="AN37" s="93">
        <v>20210</v>
      </c>
      <c r="AO37" s="93">
        <v>22227</v>
      </c>
      <c r="AP37" s="93">
        <v>24080</v>
      </c>
      <c r="AQ37" s="93">
        <v>45004</v>
      </c>
      <c r="AR37" s="93">
        <v>80415</v>
      </c>
      <c r="AS37" s="93">
        <v>66536</v>
      </c>
      <c r="AT37" s="93">
        <v>97815</v>
      </c>
      <c r="AU37" s="93">
        <v>75223</v>
      </c>
      <c r="AV37" s="93">
        <v>60590</v>
      </c>
      <c r="AW37" s="93">
        <v>35100</v>
      </c>
    </row>
    <row r="38" spans="1:49" ht="15.75">
      <c r="A38" s="69" t="s">
        <v>7</v>
      </c>
      <c r="B38" s="77">
        <v>31999</v>
      </c>
      <c r="C38" s="77">
        <v>35269</v>
      </c>
      <c r="D38" s="77">
        <v>58696</v>
      </c>
      <c r="E38" s="77">
        <v>60655</v>
      </c>
      <c r="F38" s="77">
        <v>25786</v>
      </c>
      <c r="G38" s="77">
        <v>185141</v>
      </c>
      <c r="H38" s="77">
        <v>127459</v>
      </c>
      <c r="I38" s="77">
        <v>101808</v>
      </c>
      <c r="J38" s="77">
        <v>117844</v>
      </c>
      <c r="K38" s="77">
        <v>134739</v>
      </c>
      <c r="L38" s="93">
        <v>152955</v>
      </c>
      <c r="M38" s="93">
        <v>172114</v>
      </c>
      <c r="N38" s="93">
        <v>94005</v>
      </c>
      <c r="O38" s="93">
        <v>13794</v>
      </c>
      <c r="P38" s="93">
        <v>9154</v>
      </c>
      <c r="Q38" s="93">
        <v>3142</v>
      </c>
      <c r="R38" s="93">
        <v>3163</v>
      </c>
      <c r="S38" s="93">
        <v>15042</v>
      </c>
      <c r="T38" s="93">
        <v>5832</v>
      </c>
      <c r="U38" s="93">
        <v>5090</v>
      </c>
      <c r="V38" s="93">
        <v>3286</v>
      </c>
      <c r="W38" s="93">
        <v>6599</v>
      </c>
      <c r="X38" s="93">
        <v>4619</v>
      </c>
      <c r="Y38" s="93">
        <v>4583</v>
      </c>
      <c r="Z38" s="93">
        <v>1679</v>
      </c>
      <c r="AA38" s="93">
        <v>2366</v>
      </c>
      <c r="AB38" s="93">
        <v>1047</v>
      </c>
      <c r="AC38" s="93">
        <v>798</v>
      </c>
      <c r="AD38" s="93">
        <v>636</v>
      </c>
      <c r="AE38" s="93">
        <v>293</v>
      </c>
      <c r="AF38" s="93">
        <v>1073</v>
      </c>
      <c r="AG38" s="93">
        <v>690</v>
      </c>
      <c r="AH38" s="93">
        <v>337</v>
      </c>
      <c r="AI38" s="93">
        <v>1243</v>
      </c>
      <c r="AJ38" s="93">
        <v>769</v>
      </c>
      <c r="AK38" s="93">
        <v>4394</v>
      </c>
      <c r="AL38" s="93">
        <v>3205</v>
      </c>
      <c r="AM38" s="93">
        <v>3936</v>
      </c>
      <c r="AN38" s="93">
        <v>4638</v>
      </c>
      <c r="AO38" s="93">
        <v>11501</v>
      </c>
      <c r="AP38" s="93">
        <v>10951</v>
      </c>
      <c r="AQ38" s="93">
        <v>13282</v>
      </c>
      <c r="AR38" s="93">
        <v>24873</v>
      </c>
      <c r="AS38" s="93">
        <v>47945</v>
      </c>
      <c r="AT38" s="93">
        <v>41809</v>
      </c>
      <c r="AU38" s="93">
        <v>60113</v>
      </c>
      <c r="AV38" s="93">
        <v>43286</v>
      </c>
      <c r="AW38" s="93">
        <v>29413</v>
      </c>
    </row>
    <row r="39" spans="1:49" ht="15.75">
      <c r="A39" s="69" t="s">
        <v>8</v>
      </c>
      <c r="B39" s="77">
        <v>7185</v>
      </c>
      <c r="C39" s="77">
        <v>15094</v>
      </c>
      <c r="D39" s="77">
        <v>19506</v>
      </c>
      <c r="E39" s="77">
        <v>32709</v>
      </c>
      <c r="F39" s="77">
        <v>37214</v>
      </c>
      <c r="G39" s="77">
        <v>16056</v>
      </c>
      <c r="H39" s="77">
        <v>94007</v>
      </c>
      <c r="I39" s="77">
        <v>77228</v>
      </c>
      <c r="J39" s="77">
        <v>64528</v>
      </c>
      <c r="K39" s="77">
        <v>68389</v>
      </c>
      <c r="L39" s="93">
        <v>79963</v>
      </c>
      <c r="M39" s="93">
        <v>88695</v>
      </c>
      <c r="N39" s="93">
        <v>109303</v>
      </c>
      <c r="O39" s="93">
        <v>52808</v>
      </c>
      <c r="P39" s="93">
        <v>8283</v>
      </c>
      <c r="Q39" s="93">
        <v>3845</v>
      </c>
      <c r="R39" s="93">
        <v>1472</v>
      </c>
      <c r="S39" s="93">
        <v>1146</v>
      </c>
      <c r="T39" s="93">
        <v>2769</v>
      </c>
      <c r="U39" s="93">
        <v>2199</v>
      </c>
      <c r="V39" s="93">
        <v>1338</v>
      </c>
      <c r="W39" s="93">
        <v>1669</v>
      </c>
      <c r="X39" s="93">
        <v>2263</v>
      </c>
      <c r="Y39" s="93">
        <v>2283</v>
      </c>
      <c r="Z39" s="93">
        <v>938</v>
      </c>
      <c r="AA39" s="93">
        <v>917</v>
      </c>
      <c r="AB39" s="93">
        <v>386</v>
      </c>
      <c r="AC39" s="93">
        <v>317</v>
      </c>
      <c r="AD39" s="93">
        <v>199</v>
      </c>
      <c r="AE39" s="93">
        <v>100</v>
      </c>
      <c r="AF39" s="93">
        <v>114</v>
      </c>
      <c r="AG39" s="93">
        <v>339</v>
      </c>
      <c r="AH39" s="93">
        <v>111</v>
      </c>
      <c r="AI39" s="93">
        <v>80</v>
      </c>
      <c r="AJ39" s="93">
        <v>326</v>
      </c>
      <c r="AK39" s="93">
        <v>183</v>
      </c>
      <c r="AL39" s="93">
        <v>1497</v>
      </c>
      <c r="AM39" s="93">
        <v>1647</v>
      </c>
      <c r="AN39" s="93">
        <v>1973</v>
      </c>
      <c r="AO39" s="93">
        <v>2626</v>
      </c>
      <c r="AP39" s="93">
        <v>5525</v>
      </c>
      <c r="AQ39" s="93">
        <v>6039</v>
      </c>
      <c r="AR39" s="93">
        <v>7715</v>
      </c>
      <c r="AS39" s="93">
        <v>14496</v>
      </c>
      <c r="AT39" s="93">
        <v>28450</v>
      </c>
      <c r="AU39" s="93">
        <v>24598</v>
      </c>
      <c r="AV39" s="93">
        <v>35367</v>
      </c>
      <c r="AW39" s="93">
        <v>23556</v>
      </c>
    </row>
    <row r="40" spans="1:49" ht="15.75">
      <c r="A40" s="69" t="s">
        <v>9</v>
      </c>
      <c r="B40" s="77">
        <v>520</v>
      </c>
      <c r="C40" s="77">
        <v>2735</v>
      </c>
      <c r="D40" s="77">
        <v>5841</v>
      </c>
      <c r="E40" s="77">
        <v>9472</v>
      </c>
      <c r="F40" s="77">
        <v>18066</v>
      </c>
      <c r="G40" s="77">
        <v>22005</v>
      </c>
      <c r="H40" s="77">
        <v>9155</v>
      </c>
      <c r="I40" s="77">
        <v>44224</v>
      </c>
      <c r="J40" s="77">
        <v>39056</v>
      </c>
      <c r="K40" s="77">
        <v>36396</v>
      </c>
      <c r="L40" s="93">
        <v>38518</v>
      </c>
      <c r="M40" s="93">
        <v>46773</v>
      </c>
      <c r="N40" s="93">
        <v>48037</v>
      </c>
      <c r="O40" s="93">
        <v>63299</v>
      </c>
      <c r="P40" s="93">
        <v>29778</v>
      </c>
      <c r="Q40" s="93">
        <v>3398</v>
      </c>
      <c r="R40" s="93">
        <v>1805</v>
      </c>
      <c r="S40" s="93">
        <v>690</v>
      </c>
      <c r="T40" s="93">
        <v>509</v>
      </c>
      <c r="U40" s="93">
        <v>392</v>
      </c>
      <c r="V40" s="93">
        <v>466</v>
      </c>
      <c r="W40" s="93">
        <v>622</v>
      </c>
      <c r="X40" s="93">
        <v>752</v>
      </c>
      <c r="Y40" s="93">
        <v>1116</v>
      </c>
      <c r="Z40" s="93">
        <v>624</v>
      </c>
      <c r="AA40" s="93">
        <v>320</v>
      </c>
      <c r="AB40" s="93">
        <v>153</v>
      </c>
      <c r="AC40" s="93">
        <v>146</v>
      </c>
      <c r="AD40" s="93">
        <v>108</v>
      </c>
      <c r="AE40" s="93">
        <v>76</v>
      </c>
      <c r="AF40" s="93">
        <v>49</v>
      </c>
      <c r="AG40" s="93">
        <v>41</v>
      </c>
      <c r="AH40" s="93">
        <v>59</v>
      </c>
      <c r="AI40" s="93">
        <v>45</v>
      </c>
      <c r="AJ40" s="93">
        <v>30</v>
      </c>
      <c r="AK40" s="93">
        <v>50</v>
      </c>
      <c r="AL40" s="93">
        <v>60</v>
      </c>
      <c r="AM40" s="93">
        <v>537</v>
      </c>
      <c r="AN40" s="93">
        <v>658</v>
      </c>
      <c r="AO40" s="93">
        <v>938</v>
      </c>
      <c r="AP40" s="93">
        <v>1449</v>
      </c>
      <c r="AQ40" s="93">
        <v>2542</v>
      </c>
      <c r="AR40" s="93">
        <v>2824</v>
      </c>
      <c r="AS40" s="93">
        <v>3496</v>
      </c>
      <c r="AT40" s="93">
        <v>5348</v>
      </c>
      <c r="AU40" s="93">
        <v>10586</v>
      </c>
      <c r="AV40" s="93">
        <v>10189</v>
      </c>
      <c r="AW40" s="93">
        <v>17689</v>
      </c>
    </row>
    <row r="41" spans="1:49" ht="15.75">
      <c r="A41" s="69" t="s">
        <v>10</v>
      </c>
      <c r="B41" s="77">
        <v>123</v>
      </c>
      <c r="C41" s="77">
        <v>121</v>
      </c>
      <c r="D41" s="77">
        <v>494</v>
      </c>
      <c r="E41" s="77">
        <v>1989</v>
      </c>
      <c r="F41" s="77">
        <v>4097</v>
      </c>
      <c r="G41" s="77">
        <v>8018</v>
      </c>
      <c r="H41" s="77">
        <v>11759</v>
      </c>
      <c r="I41" s="77">
        <v>4493</v>
      </c>
      <c r="J41" s="77">
        <v>13228</v>
      </c>
      <c r="K41" s="77">
        <v>14992</v>
      </c>
      <c r="L41" s="93">
        <v>16053</v>
      </c>
      <c r="M41" s="93">
        <v>19060</v>
      </c>
      <c r="N41" s="93">
        <v>21359</v>
      </c>
      <c r="O41" s="93">
        <v>25363</v>
      </c>
      <c r="P41" s="93">
        <v>33252</v>
      </c>
      <c r="Q41" s="93">
        <v>14432</v>
      </c>
      <c r="R41" s="93">
        <v>1153</v>
      </c>
      <c r="S41" s="93">
        <v>605</v>
      </c>
      <c r="T41" s="93">
        <v>200</v>
      </c>
      <c r="U41" s="93">
        <v>80</v>
      </c>
      <c r="V41" s="93">
        <v>104</v>
      </c>
      <c r="W41" s="93">
        <v>207</v>
      </c>
      <c r="X41" s="93">
        <v>303</v>
      </c>
      <c r="Y41" s="93">
        <v>383</v>
      </c>
      <c r="Z41" s="93">
        <v>404</v>
      </c>
      <c r="AA41" s="93">
        <v>156</v>
      </c>
      <c r="AB41" s="93">
        <v>54</v>
      </c>
      <c r="AC41" s="93">
        <v>62</v>
      </c>
      <c r="AD41" s="93">
        <v>38</v>
      </c>
      <c r="AE41" s="93">
        <v>62</v>
      </c>
      <c r="AF41" s="93">
        <v>22</v>
      </c>
      <c r="AG41" s="93">
        <v>14</v>
      </c>
      <c r="AH41" s="93">
        <v>11</v>
      </c>
      <c r="AI41" s="93">
        <v>27</v>
      </c>
      <c r="AJ41" s="93">
        <v>22</v>
      </c>
      <c r="AK41" s="93">
        <v>8</v>
      </c>
      <c r="AL41" s="93">
        <v>21</v>
      </c>
      <c r="AM41" s="93">
        <v>20</v>
      </c>
      <c r="AN41" s="93">
        <v>164</v>
      </c>
      <c r="AO41" s="93">
        <v>158</v>
      </c>
      <c r="AP41" s="93">
        <v>447</v>
      </c>
      <c r="AQ41" s="93">
        <v>657</v>
      </c>
      <c r="AR41" s="93">
        <v>769</v>
      </c>
      <c r="AS41" s="93">
        <v>969</v>
      </c>
      <c r="AT41" s="93">
        <v>1263</v>
      </c>
      <c r="AU41" s="93">
        <v>1658</v>
      </c>
      <c r="AV41" s="93">
        <v>3197</v>
      </c>
      <c r="AW41" s="93">
        <v>3622</v>
      </c>
    </row>
    <row r="42" spans="1:49" ht="15.75">
      <c r="A42" s="69" t="s">
        <v>35</v>
      </c>
      <c r="B42" s="77">
        <v>1</v>
      </c>
      <c r="C42" s="77">
        <v>3</v>
      </c>
      <c r="D42" s="77">
        <v>39</v>
      </c>
      <c r="E42" s="77">
        <v>52</v>
      </c>
      <c r="F42" s="77">
        <v>742</v>
      </c>
      <c r="G42" s="77">
        <v>1512</v>
      </c>
      <c r="H42" s="77">
        <v>4592</v>
      </c>
      <c r="I42" s="77">
        <v>6982</v>
      </c>
      <c r="J42" s="77">
        <v>5866</v>
      </c>
      <c r="K42" s="77">
        <v>4916</v>
      </c>
      <c r="L42" s="93">
        <v>6586</v>
      </c>
      <c r="M42" s="93">
        <v>8276</v>
      </c>
      <c r="N42" s="93">
        <v>10402</v>
      </c>
      <c r="O42" s="93">
        <v>13608</v>
      </c>
      <c r="P42" s="93">
        <v>16310</v>
      </c>
      <c r="Q42" s="93">
        <v>21641</v>
      </c>
      <c r="R42" s="93">
        <v>12546</v>
      </c>
      <c r="S42" s="93">
        <v>1716</v>
      </c>
      <c r="T42" s="93">
        <v>524</v>
      </c>
      <c r="U42" s="93">
        <v>114</v>
      </c>
      <c r="V42" s="93">
        <v>46</v>
      </c>
      <c r="W42" s="93">
        <v>68</v>
      </c>
      <c r="X42" s="93">
        <v>152</v>
      </c>
      <c r="Y42" s="93">
        <v>131</v>
      </c>
      <c r="Z42" s="93">
        <v>154</v>
      </c>
      <c r="AA42" s="93">
        <v>108</v>
      </c>
      <c r="AB42" s="93">
        <v>34</v>
      </c>
      <c r="AC42" s="93">
        <v>24</v>
      </c>
      <c r="AD42" s="93">
        <v>23</v>
      </c>
      <c r="AE42" s="93">
        <v>30</v>
      </c>
      <c r="AF42" s="93">
        <v>5</v>
      </c>
      <c r="AG42" s="93">
        <v>5</v>
      </c>
      <c r="AH42" s="93">
        <v>5</v>
      </c>
      <c r="AI42" s="93">
        <v>8</v>
      </c>
      <c r="AJ42" s="93">
        <v>17</v>
      </c>
      <c r="AK42" s="93">
        <v>12</v>
      </c>
      <c r="AL42" s="93">
        <v>3</v>
      </c>
      <c r="AM42" s="93">
        <v>12</v>
      </c>
      <c r="AN42" s="93">
        <v>12</v>
      </c>
      <c r="AO42" s="93">
        <v>51</v>
      </c>
      <c r="AP42" s="93">
        <v>97</v>
      </c>
      <c r="AQ42" s="93">
        <v>210</v>
      </c>
      <c r="AR42" s="93">
        <v>284</v>
      </c>
      <c r="AS42" s="93">
        <v>295</v>
      </c>
      <c r="AT42" s="93">
        <v>250</v>
      </c>
      <c r="AU42" s="93">
        <v>377</v>
      </c>
      <c r="AV42" s="93">
        <v>620</v>
      </c>
      <c r="AW42" s="93">
        <v>1245</v>
      </c>
    </row>
    <row r="43" spans="1:49" ht="15.75">
      <c r="A43" s="89" t="s">
        <v>104</v>
      </c>
      <c r="B43" s="73">
        <v>95727</v>
      </c>
      <c r="C43" s="73">
        <v>145473</v>
      </c>
      <c r="D43" s="73">
        <v>178779</v>
      </c>
      <c r="E43" s="73">
        <v>146797</v>
      </c>
      <c r="F43" s="73">
        <v>378875</v>
      </c>
      <c r="G43" s="73">
        <v>430545</v>
      </c>
      <c r="H43" s="73">
        <v>403220</v>
      </c>
      <c r="I43" s="73">
        <v>414937</v>
      </c>
      <c r="J43" s="73">
        <v>453324</v>
      </c>
      <c r="K43" s="73">
        <v>507343</v>
      </c>
      <c r="L43" s="74">
        <v>554029</v>
      </c>
      <c r="M43" s="74">
        <v>491392</v>
      </c>
      <c r="N43" s="74">
        <v>305952</v>
      </c>
      <c r="O43" s="74">
        <v>188309</v>
      </c>
      <c r="P43" s="74">
        <v>103701</v>
      </c>
      <c r="Q43" s="74">
        <v>51765</v>
      </c>
      <c r="R43" s="74">
        <v>47467</v>
      </c>
      <c r="S43" s="74">
        <v>31326</v>
      </c>
      <c r="T43" s="74">
        <v>21722</v>
      </c>
      <c r="U43" s="74">
        <v>15185</v>
      </c>
      <c r="V43" s="74">
        <v>18685</v>
      </c>
      <c r="W43" s="74">
        <v>16942</v>
      </c>
      <c r="X43" s="74">
        <v>15478</v>
      </c>
      <c r="Y43" s="74">
        <v>11076</v>
      </c>
      <c r="Z43" s="74">
        <v>8636</v>
      </c>
      <c r="AA43" s="74">
        <v>6350</v>
      </c>
      <c r="AB43" s="74">
        <v>2895</v>
      </c>
      <c r="AC43" s="74">
        <v>2481</v>
      </c>
      <c r="AD43" s="74">
        <v>1900</v>
      </c>
      <c r="AE43" s="74">
        <v>2478</v>
      </c>
      <c r="AF43" s="74">
        <v>2503</v>
      </c>
      <c r="AG43" s="74">
        <v>2509</v>
      </c>
      <c r="AH43" s="74">
        <v>2938</v>
      </c>
      <c r="AI43" s="74">
        <v>2697</v>
      </c>
      <c r="AJ43" s="74">
        <v>7973</v>
      </c>
      <c r="AK43" s="74">
        <v>10356</v>
      </c>
      <c r="AL43" s="74">
        <v>11286</v>
      </c>
      <c r="AM43" s="74">
        <v>13474</v>
      </c>
      <c r="AN43" s="74">
        <v>27655</v>
      </c>
      <c r="AO43" s="74">
        <v>37500</v>
      </c>
      <c r="AP43" s="74">
        <v>42548</v>
      </c>
      <c r="AQ43" s="74">
        <v>67734</v>
      </c>
      <c r="AR43" s="74">
        <v>116880</v>
      </c>
      <c r="AS43" s="74">
        <v>133737</v>
      </c>
      <c r="AT43" s="74">
        <v>174935</v>
      </c>
      <c r="AU43" s="74">
        <v>172556</v>
      </c>
      <c r="AV43" s="74">
        <v>153250</v>
      </c>
      <c r="AW43" s="74">
        <v>110625</v>
      </c>
    </row>
    <row r="44" spans="1:49" ht="15.75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4"/>
      <c r="AH44" s="30"/>
      <c r="AI44" s="83"/>
      <c r="AJ44" s="84"/>
      <c r="AK44" s="30"/>
      <c r="AL44" s="83"/>
      <c r="AM44" s="84"/>
      <c r="AN44" s="30"/>
      <c r="AO44" s="83"/>
      <c r="AP44" s="75"/>
      <c r="AQ44" s="75"/>
      <c r="AR44" s="75"/>
      <c r="AS44" s="75"/>
      <c r="AT44" s="75"/>
      <c r="AU44" s="75"/>
      <c r="AV44" s="75"/>
      <c r="AW44" s="75"/>
    </row>
    <row r="45" spans="1:49" ht="15.75">
      <c r="A45" s="63" t="s">
        <v>37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94"/>
      <c r="AE45" s="94"/>
      <c r="AF45" s="94"/>
      <c r="AG45" s="94"/>
      <c r="AH45" s="85"/>
      <c r="AI45" s="94"/>
      <c r="AJ45" s="94"/>
      <c r="AK45" s="85"/>
      <c r="AL45" s="94"/>
      <c r="AM45" s="94"/>
      <c r="AN45" s="85"/>
      <c r="AO45" s="94"/>
      <c r="AP45" s="85"/>
      <c r="AQ45" s="85"/>
      <c r="AR45" s="85"/>
      <c r="AS45" s="85"/>
      <c r="AT45" s="85"/>
      <c r="AU45" s="85"/>
      <c r="AV45" s="85"/>
      <c r="AW45" s="85"/>
    </row>
    <row r="46" spans="1:49" ht="15.75">
      <c r="A46" s="64" t="s">
        <v>34</v>
      </c>
      <c r="B46" s="65">
        <v>1976</v>
      </c>
      <c r="C46" s="65">
        <v>1977</v>
      </c>
      <c r="D46" s="65">
        <v>1978</v>
      </c>
      <c r="E46" s="65">
        <v>1979</v>
      </c>
      <c r="F46" s="65">
        <v>1980</v>
      </c>
      <c r="G46" s="65">
        <v>1981</v>
      </c>
      <c r="H46" s="65">
        <v>1982</v>
      </c>
      <c r="I46" s="65">
        <v>1983</v>
      </c>
      <c r="J46" s="65">
        <v>1984</v>
      </c>
      <c r="K46" s="65">
        <v>1985</v>
      </c>
      <c r="L46" s="65">
        <v>1986</v>
      </c>
      <c r="M46" s="65">
        <v>1987</v>
      </c>
      <c r="N46" s="65">
        <v>1988</v>
      </c>
      <c r="O46" s="65">
        <v>1989</v>
      </c>
      <c r="P46" s="65">
        <v>1990</v>
      </c>
      <c r="Q46" s="65">
        <v>1991</v>
      </c>
      <c r="R46" s="65">
        <v>1992</v>
      </c>
      <c r="S46" s="65">
        <v>1993</v>
      </c>
      <c r="T46" s="65">
        <v>1994</v>
      </c>
      <c r="U46" s="65">
        <v>1995</v>
      </c>
      <c r="V46" s="65">
        <v>1996</v>
      </c>
      <c r="W46" s="65">
        <v>1997</v>
      </c>
      <c r="X46" s="65">
        <v>1998</v>
      </c>
      <c r="Y46" s="65">
        <v>1999</v>
      </c>
      <c r="Z46" s="65">
        <v>2000</v>
      </c>
      <c r="AA46" s="65">
        <v>2001</v>
      </c>
      <c r="AB46" s="65">
        <v>2002</v>
      </c>
      <c r="AC46" s="65">
        <v>2003</v>
      </c>
      <c r="AD46" s="65">
        <v>2004</v>
      </c>
      <c r="AE46" s="65">
        <v>2005</v>
      </c>
      <c r="AF46" s="65">
        <v>2006</v>
      </c>
      <c r="AG46" s="65">
        <v>2007</v>
      </c>
      <c r="AH46" s="65">
        <v>2008</v>
      </c>
      <c r="AI46" s="65">
        <v>2009</v>
      </c>
      <c r="AJ46" s="65">
        <v>2010</v>
      </c>
      <c r="AK46" s="65">
        <v>2011</v>
      </c>
      <c r="AL46" s="65">
        <v>2012</v>
      </c>
      <c r="AM46" s="65">
        <v>2013</v>
      </c>
      <c r="AN46" s="65">
        <v>2014</v>
      </c>
      <c r="AO46" s="65">
        <v>2015</v>
      </c>
      <c r="AP46" s="65">
        <v>2016</v>
      </c>
      <c r="AQ46" s="65">
        <v>2017</v>
      </c>
      <c r="AR46" s="65">
        <v>2018</v>
      </c>
      <c r="AS46" s="65">
        <v>2019</v>
      </c>
      <c r="AT46" s="65">
        <v>2020</v>
      </c>
      <c r="AU46" s="65">
        <v>2021</v>
      </c>
      <c r="AV46" s="65">
        <v>2022</v>
      </c>
      <c r="AW46" s="65">
        <v>2023</v>
      </c>
    </row>
    <row r="47" spans="1:49" ht="15.75">
      <c r="A47" s="69" t="s">
        <v>6</v>
      </c>
      <c r="B47" s="95">
        <v>1397</v>
      </c>
      <c r="C47" s="95">
        <v>1937</v>
      </c>
      <c r="D47" s="95">
        <v>2072</v>
      </c>
      <c r="E47" s="95">
        <v>1425</v>
      </c>
      <c r="F47" s="95">
        <v>6152</v>
      </c>
      <c r="G47" s="95">
        <v>3758</v>
      </c>
      <c r="H47" s="95">
        <v>2969</v>
      </c>
      <c r="I47" s="95">
        <v>2162</v>
      </c>
      <c r="J47" s="95">
        <v>1702</v>
      </c>
      <c r="K47" s="95">
        <v>4462</v>
      </c>
      <c r="L47" s="96">
        <v>2600</v>
      </c>
      <c r="M47" s="96">
        <v>939</v>
      </c>
      <c r="N47" s="96">
        <v>274</v>
      </c>
      <c r="O47" s="96">
        <v>194</v>
      </c>
      <c r="P47" s="96">
        <v>35</v>
      </c>
      <c r="Q47" s="96">
        <v>21</v>
      </c>
      <c r="R47" s="96">
        <v>492</v>
      </c>
      <c r="S47" s="96">
        <v>73</v>
      </c>
      <c r="T47" s="96">
        <v>131</v>
      </c>
      <c r="U47" s="96">
        <v>248</v>
      </c>
      <c r="V47" s="96">
        <v>455</v>
      </c>
      <c r="W47" s="96">
        <v>218</v>
      </c>
      <c r="X47" s="96">
        <v>177</v>
      </c>
      <c r="Y47" s="96">
        <v>91</v>
      </c>
      <c r="Z47" s="96">
        <v>143</v>
      </c>
      <c r="AA47" s="96">
        <v>42</v>
      </c>
      <c r="AB47" s="96">
        <v>41</v>
      </c>
      <c r="AC47" s="96">
        <v>21</v>
      </c>
      <c r="AD47" s="96">
        <v>24</v>
      </c>
      <c r="AE47" s="96">
        <v>46</v>
      </c>
      <c r="AF47" s="96">
        <v>26</v>
      </c>
      <c r="AG47" s="96">
        <v>38</v>
      </c>
      <c r="AH47" s="96">
        <v>62</v>
      </c>
      <c r="AI47" s="96">
        <v>28</v>
      </c>
      <c r="AJ47" s="96">
        <v>202</v>
      </c>
      <c r="AK47" s="96">
        <v>174</v>
      </c>
      <c r="AL47" s="96">
        <v>171</v>
      </c>
      <c r="AM47" s="96">
        <v>164</v>
      </c>
      <c r="AN47" s="96">
        <v>486</v>
      </c>
      <c r="AO47" s="96">
        <v>409</v>
      </c>
      <c r="AP47" s="96">
        <v>496</v>
      </c>
      <c r="AQ47" s="96">
        <v>620</v>
      </c>
      <c r="AR47" s="96">
        <v>1368</v>
      </c>
      <c r="AS47" s="96">
        <v>1036</v>
      </c>
      <c r="AT47" s="96">
        <v>1503</v>
      </c>
      <c r="AU47" s="96">
        <v>1044</v>
      </c>
      <c r="AV47" s="96">
        <v>982</v>
      </c>
      <c r="AW47" s="96">
        <v>529</v>
      </c>
    </row>
    <row r="48" spans="1:49" ht="15.75">
      <c r="A48" s="69" t="s">
        <v>7</v>
      </c>
      <c r="B48" s="95">
        <v>1792</v>
      </c>
      <c r="C48" s="95">
        <v>2046</v>
      </c>
      <c r="D48" s="95">
        <v>3052</v>
      </c>
      <c r="E48" s="95">
        <v>3336</v>
      </c>
      <c r="F48" s="95">
        <v>1779</v>
      </c>
      <c r="G48" s="95">
        <v>7035</v>
      </c>
      <c r="H48" s="95">
        <v>5226</v>
      </c>
      <c r="I48" s="95">
        <v>4276</v>
      </c>
      <c r="J48" s="95">
        <v>4832</v>
      </c>
      <c r="K48" s="95">
        <v>5390</v>
      </c>
      <c r="L48" s="96">
        <v>6424</v>
      </c>
      <c r="M48" s="96">
        <v>8089</v>
      </c>
      <c r="N48" s="96">
        <v>4606</v>
      </c>
      <c r="O48" s="96">
        <v>621</v>
      </c>
      <c r="P48" s="96">
        <v>375</v>
      </c>
      <c r="Q48" s="96">
        <v>94</v>
      </c>
      <c r="R48" s="96">
        <v>171</v>
      </c>
      <c r="S48" s="96">
        <v>918</v>
      </c>
      <c r="T48" s="96">
        <v>327</v>
      </c>
      <c r="U48" s="96">
        <v>248</v>
      </c>
      <c r="V48" s="96">
        <v>160</v>
      </c>
      <c r="W48" s="96">
        <v>422</v>
      </c>
      <c r="X48" s="96">
        <v>241</v>
      </c>
      <c r="Y48" s="96">
        <v>274</v>
      </c>
      <c r="Z48" s="96">
        <v>73</v>
      </c>
      <c r="AA48" s="96">
        <v>128</v>
      </c>
      <c r="AB48" s="96">
        <v>60</v>
      </c>
      <c r="AC48" s="96">
        <v>49</v>
      </c>
      <c r="AD48" s="96">
        <v>43</v>
      </c>
      <c r="AE48" s="96">
        <v>12</v>
      </c>
      <c r="AF48" s="96">
        <v>87</v>
      </c>
      <c r="AG48" s="96">
        <v>37</v>
      </c>
      <c r="AH48" s="96">
        <v>19</v>
      </c>
      <c r="AI48" s="96">
        <v>84</v>
      </c>
      <c r="AJ48" s="96">
        <v>58</v>
      </c>
      <c r="AK48" s="96">
        <v>241</v>
      </c>
      <c r="AL48" s="96">
        <v>179</v>
      </c>
      <c r="AM48" s="96">
        <v>216</v>
      </c>
      <c r="AN48" s="96">
        <v>236</v>
      </c>
      <c r="AO48" s="96">
        <v>474</v>
      </c>
      <c r="AP48" s="96">
        <v>523</v>
      </c>
      <c r="AQ48" s="96">
        <v>670</v>
      </c>
      <c r="AR48" s="96">
        <v>1024</v>
      </c>
      <c r="AS48" s="96">
        <v>1938</v>
      </c>
      <c r="AT48" s="96">
        <v>1721</v>
      </c>
      <c r="AU48" s="96">
        <v>2221</v>
      </c>
      <c r="AV48" s="96">
        <v>1459</v>
      </c>
      <c r="AW48" s="96">
        <v>1181</v>
      </c>
    </row>
    <row r="49" spans="1:49" ht="15.75">
      <c r="A49" s="69" t="s">
        <v>8</v>
      </c>
      <c r="B49" s="95">
        <v>604</v>
      </c>
      <c r="C49" s="95">
        <v>1268</v>
      </c>
      <c r="D49" s="95">
        <v>1638</v>
      </c>
      <c r="E49" s="95">
        <v>2649</v>
      </c>
      <c r="F49" s="95">
        <v>3014</v>
      </c>
      <c r="G49" s="95">
        <v>1365</v>
      </c>
      <c r="H49" s="95">
        <v>4982</v>
      </c>
      <c r="I49" s="95">
        <v>4556</v>
      </c>
      <c r="J49" s="95">
        <v>3485</v>
      </c>
      <c r="K49" s="95">
        <v>3351</v>
      </c>
      <c r="L49" s="96">
        <v>4718</v>
      </c>
      <c r="M49" s="96">
        <v>4790</v>
      </c>
      <c r="N49" s="96">
        <v>6340</v>
      </c>
      <c r="O49" s="96">
        <v>3116</v>
      </c>
      <c r="P49" s="96">
        <v>480</v>
      </c>
      <c r="Q49" s="96">
        <v>335</v>
      </c>
      <c r="R49" s="96">
        <v>122</v>
      </c>
      <c r="S49" s="96">
        <v>91</v>
      </c>
      <c r="T49" s="96">
        <v>260</v>
      </c>
      <c r="U49" s="96">
        <v>185</v>
      </c>
      <c r="V49" s="96">
        <v>113</v>
      </c>
      <c r="W49" s="96">
        <v>165</v>
      </c>
      <c r="X49" s="96">
        <v>179</v>
      </c>
      <c r="Y49" s="96">
        <v>175</v>
      </c>
      <c r="Z49" s="96">
        <v>71</v>
      </c>
      <c r="AA49" s="96">
        <v>73</v>
      </c>
      <c r="AB49" s="96">
        <v>31</v>
      </c>
      <c r="AC49" s="96">
        <v>25</v>
      </c>
      <c r="AD49" s="96">
        <v>20</v>
      </c>
      <c r="AE49" s="96">
        <v>9</v>
      </c>
      <c r="AF49" s="96">
        <v>9</v>
      </c>
      <c r="AG49" s="96">
        <v>31</v>
      </c>
      <c r="AH49" s="96">
        <v>9</v>
      </c>
      <c r="AI49" s="96">
        <v>7</v>
      </c>
      <c r="AJ49" s="96">
        <v>38</v>
      </c>
      <c r="AK49" s="96">
        <v>20</v>
      </c>
      <c r="AL49" s="96">
        <v>132</v>
      </c>
      <c r="AM49" s="96">
        <v>148</v>
      </c>
      <c r="AN49" s="96">
        <v>188</v>
      </c>
      <c r="AO49" s="96">
        <v>252</v>
      </c>
      <c r="AP49" s="96">
        <v>437</v>
      </c>
      <c r="AQ49" s="96">
        <v>552</v>
      </c>
      <c r="AR49" s="96">
        <v>556</v>
      </c>
      <c r="AS49" s="96">
        <v>820</v>
      </c>
      <c r="AT49" s="96">
        <v>1427</v>
      </c>
      <c r="AU49" s="96">
        <v>1206</v>
      </c>
      <c r="AV49" s="96">
        <v>1616</v>
      </c>
      <c r="AW49" s="96">
        <v>1088</v>
      </c>
    </row>
    <row r="50" spans="1:49" ht="15.75">
      <c r="A50" s="69" t="s">
        <v>9</v>
      </c>
      <c r="B50" s="95">
        <v>55</v>
      </c>
      <c r="C50" s="95">
        <v>287</v>
      </c>
      <c r="D50" s="95">
        <v>613</v>
      </c>
      <c r="E50" s="95">
        <v>995</v>
      </c>
      <c r="F50" s="95">
        <v>1843</v>
      </c>
      <c r="G50" s="95">
        <v>2134</v>
      </c>
      <c r="H50" s="95">
        <v>833</v>
      </c>
      <c r="I50" s="95">
        <v>2963</v>
      </c>
      <c r="J50" s="95">
        <v>2656</v>
      </c>
      <c r="K50" s="95">
        <v>2439</v>
      </c>
      <c r="L50" s="96">
        <v>2889</v>
      </c>
      <c r="M50" s="96">
        <v>3134</v>
      </c>
      <c r="N50" s="96">
        <v>3603</v>
      </c>
      <c r="O50" s="96">
        <v>4747</v>
      </c>
      <c r="P50" s="96">
        <v>2352</v>
      </c>
      <c r="Q50" s="96">
        <v>330</v>
      </c>
      <c r="R50" s="96">
        <v>173</v>
      </c>
      <c r="S50" s="96">
        <v>77</v>
      </c>
      <c r="T50" s="96">
        <v>61</v>
      </c>
      <c r="U50" s="96">
        <v>46</v>
      </c>
      <c r="V50" s="96">
        <v>55</v>
      </c>
      <c r="W50" s="96">
        <v>72</v>
      </c>
      <c r="X50" s="96">
        <v>76</v>
      </c>
      <c r="Y50" s="96">
        <v>106</v>
      </c>
      <c r="Z50" s="96">
        <v>60</v>
      </c>
      <c r="AA50" s="96">
        <v>31</v>
      </c>
      <c r="AB50" s="96">
        <v>16</v>
      </c>
      <c r="AC50" s="96">
        <v>16</v>
      </c>
      <c r="AD50" s="96">
        <v>13</v>
      </c>
      <c r="AE50" s="96">
        <v>8</v>
      </c>
      <c r="AF50" s="96">
        <v>6</v>
      </c>
      <c r="AG50" s="96">
        <v>4</v>
      </c>
      <c r="AH50" s="96">
        <v>7</v>
      </c>
      <c r="AI50" s="96">
        <v>5</v>
      </c>
      <c r="AJ50" s="96">
        <v>3</v>
      </c>
      <c r="AK50" s="96">
        <v>6</v>
      </c>
      <c r="AL50" s="96">
        <v>7</v>
      </c>
      <c r="AM50" s="96">
        <v>60</v>
      </c>
      <c r="AN50" s="96">
        <v>78</v>
      </c>
      <c r="AO50" s="96">
        <v>119</v>
      </c>
      <c r="AP50" s="96">
        <v>163</v>
      </c>
      <c r="AQ50" s="96">
        <v>274</v>
      </c>
      <c r="AR50" s="96">
        <v>261</v>
      </c>
      <c r="AS50" s="96">
        <v>297</v>
      </c>
      <c r="AT50" s="96">
        <v>366</v>
      </c>
      <c r="AU50" s="96">
        <v>614</v>
      </c>
      <c r="AV50" s="96">
        <v>565</v>
      </c>
      <c r="AW50" s="96">
        <v>1068</v>
      </c>
    </row>
    <row r="51" spans="1:49" ht="15.75">
      <c r="A51" s="69" t="s">
        <v>10</v>
      </c>
      <c r="B51" s="95">
        <v>15</v>
      </c>
      <c r="C51" s="95">
        <v>14</v>
      </c>
      <c r="D51" s="95">
        <v>58</v>
      </c>
      <c r="E51" s="95">
        <v>235</v>
      </c>
      <c r="F51" s="95">
        <v>483</v>
      </c>
      <c r="G51" s="95">
        <v>930</v>
      </c>
      <c r="H51" s="95">
        <v>1246</v>
      </c>
      <c r="I51" s="95">
        <v>418</v>
      </c>
      <c r="J51" s="95">
        <v>1111</v>
      </c>
      <c r="K51" s="95">
        <v>1244</v>
      </c>
      <c r="L51" s="96">
        <v>1493</v>
      </c>
      <c r="M51" s="96">
        <v>1696</v>
      </c>
      <c r="N51" s="96">
        <v>1901</v>
      </c>
      <c r="O51" s="96">
        <v>2359</v>
      </c>
      <c r="P51" s="96">
        <v>3026</v>
      </c>
      <c r="Q51" s="96">
        <v>1429</v>
      </c>
      <c r="R51" s="96">
        <v>114</v>
      </c>
      <c r="S51" s="96">
        <v>81</v>
      </c>
      <c r="T51" s="96">
        <v>27</v>
      </c>
      <c r="U51" s="96">
        <v>11</v>
      </c>
      <c r="V51" s="96">
        <v>15</v>
      </c>
      <c r="W51" s="96">
        <v>28</v>
      </c>
      <c r="X51" s="96">
        <v>36</v>
      </c>
      <c r="Y51" s="96">
        <v>39</v>
      </c>
      <c r="Z51" s="96">
        <v>43</v>
      </c>
      <c r="AA51" s="96">
        <v>18</v>
      </c>
      <c r="AB51" s="96">
        <v>6</v>
      </c>
      <c r="AC51" s="96">
        <v>7</v>
      </c>
      <c r="AD51" s="96">
        <v>4</v>
      </c>
      <c r="AE51" s="96">
        <v>8</v>
      </c>
      <c r="AF51" s="96">
        <v>2</v>
      </c>
      <c r="AG51" s="96">
        <v>2</v>
      </c>
      <c r="AH51" s="96">
        <v>1</v>
      </c>
      <c r="AI51" s="96">
        <v>3</v>
      </c>
      <c r="AJ51" s="96">
        <v>2</v>
      </c>
      <c r="AK51" s="96">
        <v>1</v>
      </c>
      <c r="AL51" s="96">
        <v>3</v>
      </c>
      <c r="AM51" s="96">
        <v>3</v>
      </c>
      <c r="AN51" s="96">
        <v>21</v>
      </c>
      <c r="AO51" s="96">
        <v>21</v>
      </c>
      <c r="AP51" s="96">
        <v>54</v>
      </c>
      <c r="AQ51" s="96">
        <v>85</v>
      </c>
      <c r="AR51" s="96">
        <v>83</v>
      </c>
      <c r="AS51" s="96">
        <v>98</v>
      </c>
      <c r="AT51" s="96">
        <v>123</v>
      </c>
      <c r="AU51" s="96">
        <v>139</v>
      </c>
      <c r="AV51" s="96">
        <v>234</v>
      </c>
      <c r="AW51" s="96">
        <v>281</v>
      </c>
    </row>
    <row r="52" spans="1:49" ht="15.75">
      <c r="A52" s="69" t="s">
        <v>35</v>
      </c>
      <c r="B52" s="95">
        <v>0</v>
      </c>
      <c r="C52" s="95">
        <v>0</v>
      </c>
      <c r="D52" s="95">
        <v>5</v>
      </c>
      <c r="E52" s="95">
        <v>7</v>
      </c>
      <c r="F52" s="95">
        <v>94</v>
      </c>
      <c r="G52" s="95">
        <v>192</v>
      </c>
      <c r="H52" s="95">
        <v>574</v>
      </c>
      <c r="I52" s="95">
        <v>775</v>
      </c>
      <c r="J52" s="95">
        <v>633</v>
      </c>
      <c r="K52" s="95">
        <v>506</v>
      </c>
      <c r="L52" s="96">
        <v>757</v>
      </c>
      <c r="M52" s="96">
        <v>894</v>
      </c>
      <c r="N52" s="96">
        <v>1051</v>
      </c>
      <c r="O52" s="96">
        <v>1470</v>
      </c>
      <c r="P52" s="96">
        <v>1713</v>
      </c>
      <c r="Q52" s="96">
        <v>2337</v>
      </c>
      <c r="R52" s="96">
        <v>1393</v>
      </c>
      <c r="S52" s="96">
        <v>228</v>
      </c>
      <c r="T52" s="96">
        <v>73</v>
      </c>
      <c r="U52" s="96">
        <v>18</v>
      </c>
      <c r="V52" s="96">
        <v>7</v>
      </c>
      <c r="W52" s="96">
        <v>11</v>
      </c>
      <c r="X52" s="96">
        <v>19</v>
      </c>
      <c r="Y52" s="96">
        <v>17</v>
      </c>
      <c r="Z52" s="96">
        <v>19</v>
      </c>
      <c r="AA52" s="96">
        <v>14</v>
      </c>
      <c r="AB52" s="96">
        <v>4</v>
      </c>
      <c r="AC52" s="96">
        <v>3</v>
      </c>
      <c r="AD52" s="96">
        <v>3</v>
      </c>
      <c r="AE52" s="96">
        <v>4</v>
      </c>
      <c r="AF52" s="96">
        <v>1</v>
      </c>
      <c r="AG52" s="96">
        <v>1</v>
      </c>
      <c r="AH52" s="96">
        <v>1</v>
      </c>
      <c r="AI52" s="96">
        <v>1</v>
      </c>
      <c r="AJ52" s="96">
        <v>2</v>
      </c>
      <c r="AK52" s="96">
        <v>1</v>
      </c>
      <c r="AL52" s="96">
        <v>0</v>
      </c>
      <c r="AM52" s="96">
        <v>2</v>
      </c>
      <c r="AN52" s="96">
        <v>2</v>
      </c>
      <c r="AO52" s="96">
        <v>7</v>
      </c>
      <c r="AP52" s="96">
        <v>13</v>
      </c>
      <c r="AQ52" s="96">
        <v>30</v>
      </c>
      <c r="AR52" s="96">
        <v>37</v>
      </c>
      <c r="AS52" s="96">
        <v>35</v>
      </c>
      <c r="AT52" s="96">
        <v>30</v>
      </c>
      <c r="AU52" s="96">
        <v>42</v>
      </c>
      <c r="AV52" s="96">
        <v>65</v>
      </c>
      <c r="AW52" s="96">
        <v>118</v>
      </c>
    </row>
    <row r="53" spans="1:49" ht="15.75">
      <c r="A53" s="89" t="s">
        <v>104</v>
      </c>
      <c r="B53" s="73">
        <v>3862</v>
      </c>
      <c r="C53" s="73">
        <v>5553</v>
      </c>
      <c r="D53" s="73">
        <v>7440</v>
      </c>
      <c r="E53" s="73">
        <v>8647</v>
      </c>
      <c r="F53" s="73">
        <v>13366</v>
      </c>
      <c r="G53" s="73">
        <v>15415</v>
      </c>
      <c r="H53" s="73">
        <v>15830</v>
      </c>
      <c r="I53" s="73">
        <v>15151</v>
      </c>
      <c r="J53" s="73">
        <v>14419</v>
      </c>
      <c r="K53" s="73">
        <v>17392</v>
      </c>
      <c r="L53" s="73">
        <v>18881</v>
      </c>
      <c r="M53" s="73">
        <v>19542</v>
      </c>
      <c r="N53" s="73">
        <v>17774</v>
      </c>
      <c r="O53" s="73">
        <v>12507</v>
      </c>
      <c r="P53" s="73">
        <v>7981</v>
      </c>
      <c r="Q53" s="73">
        <v>4546</v>
      </c>
      <c r="R53" s="73">
        <v>2465</v>
      </c>
      <c r="S53" s="73">
        <v>1467</v>
      </c>
      <c r="T53" s="73">
        <v>879</v>
      </c>
      <c r="U53" s="73">
        <v>756</v>
      </c>
      <c r="V53" s="73">
        <v>805</v>
      </c>
      <c r="W53" s="73">
        <v>916</v>
      </c>
      <c r="X53" s="73">
        <v>727</v>
      </c>
      <c r="Y53" s="73">
        <v>701</v>
      </c>
      <c r="Z53" s="73">
        <v>411</v>
      </c>
      <c r="AA53" s="73">
        <v>305</v>
      </c>
      <c r="AB53" s="73">
        <v>157</v>
      </c>
      <c r="AC53" s="73">
        <v>121</v>
      </c>
      <c r="AD53" s="73">
        <v>109</v>
      </c>
      <c r="AE53" s="73">
        <v>87</v>
      </c>
      <c r="AF53" s="73">
        <v>131</v>
      </c>
      <c r="AG53" s="73">
        <v>112</v>
      </c>
      <c r="AH53" s="73">
        <v>99</v>
      </c>
      <c r="AI53" s="73">
        <v>128</v>
      </c>
      <c r="AJ53" s="73">
        <v>307</v>
      </c>
      <c r="AK53" s="73">
        <v>443</v>
      </c>
      <c r="AL53" s="73">
        <v>492</v>
      </c>
      <c r="AM53" s="73">
        <v>593</v>
      </c>
      <c r="AN53" s="73">
        <v>1010</v>
      </c>
      <c r="AO53" s="73">
        <v>1282</v>
      </c>
      <c r="AP53" s="73">
        <v>1686</v>
      </c>
      <c r="AQ53" s="73">
        <v>2232</v>
      </c>
      <c r="AR53" s="73">
        <v>3330</v>
      </c>
      <c r="AS53" s="73">
        <v>4224</v>
      </c>
      <c r="AT53" s="73">
        <v>5169</v>
      </c>
      <c r="AU53" s="73">
        <v>5266</v>
      </c>
      <c r="AV53" s="73">
        <v>4922</v>
      </c>
      <c r="AW53" s="73">
        <v>4264</v>
      </c>
    </row>
    <row r="54" spans="1:49" ht="15.75">
      <c r="A54" s="99" t="s">
        <v>108</v>
      </c>
      <c r="B54" s="97">
        <v>852</v>
      </c>
      <c r="C54" s="97">
        <v>1774</v>
      </c>
      <c r="D54" s="97">
        <v>2620</v>
      </c>
      <c r="E54" s="97">
        <v>4219</v>
      </c>
      <c r="F54" s="97">
        <v>5613</v>
      </c>
      <c r="G54" s="97">
        <v>5325</v>
      </c>
      <c r="H54" s="97">
        <v>8158</v>
      </c>
      <c r="I54" s="97">
        <v>9140</v>
      </c>
      <c r="J54" s="97">
        <v>8368</v>
      </c>
      <c r="K54" s="97">
        <v>8079</v>
      </c>
      <c r="L54" s="98">
        <v>10499</v>
      </c>
      <c r="M54" s="98">
        <v>11322</v>
      </c>
      <c r="N54" s="98">
        <v>13355</v>
      </c>
      <c r="O54" s="98">
        <v>11754</v>
      </c>
      <c r="P54" s="98">
        <v>7609</v>
      </c>
      <c r="Q54" s="98">
        <v>4440</v>
      </c>
      <c r="R54" s="98">
        <v>1819</v>
      </c>
      <c r="S54" s="98">
        <v>569</v>
      </c>
      <c r="T54" s="98">
        <v>487</v>
      </c>
      <c r="U54" s="98">
        <v>310</v>
      </c>
      <c r="V54" s="98">
        <v>221</v>
      </c>
      <c r="W54" s="98">
        <v>360</v>
      </c>
      <c r="X54" s="98">
        <v>429</v>
      </c>
      <c r="Y54" s="98">
        <v>473</v>
      </c>
      <c r="Z54" s="98">
        <v>231</v>
      </c>
      <c r="AA54" s="98">
        <v>199</v>
      </c>
      <c r="AB54" s="98">
        <v>87</v>
      </c>
      <c r="AC54" s="98">
        <v>75</v>
      </c>
      <c r="AD54" s="98">
        <v>63</v>
      </c>
      <c r="AE54" s="98">
        <v>35</v>
      </c>
      <c r="AF54" s="98">
        <v>62</v>
      </c>
      <c r="AG54" s="98">
        <v>56</v>
      </c>
      <c r="AH54" s="98">
        <v>28</v>
      </c>
      <c r="AI54" s="98">
        <v>58</v>
      </c>
      <c r="AJ54" s="98">
        <v>75</v>
      </c>
      <c r="AK54" s="98">
        <v>149</v>
      </c>
      <c r="AL54" s="98">
        <v>232</v>
      </c>
      <c r="AM54" s="98">
        <v>321</v>
      </c>
      <c r="AN54" s="98">
        <v>406</v>
      </c>
      <c r="AO54" s="98">
        <v>636</v>
      </c>
      <c r="AP54" s="98">
        <v>772</v>
      </c>
      <c r="AQ54" s="98">
        <v>1075</v>
      </c>
      <c r="AR54" s="98">
        <v>1143</v>
      </c>
      <c r="AS54" s="98">
        <v>1637</v>
      </c>
      <c r="AT54" s="98">
        <v>2289</v>
      </c>
      <c r="AU54" s="98">
        <v>2445</v>
      </c>
      <c r="AV54" s="98">
        <v>2772</v>
      </c>
      <c r="AW54" s="98">
        <v>2791</v>
      </c>
    </row>
    <row r="55" spans="1:49" ht="15.75">
      <c r="A55" s="99" t="s">
        <v>13</v>
      </c>
      <c r="B55" s="100">
        <v>65.599999999999994</v>
      </c>
      <c r="C55" s="100">
        <v>52</v>
      </c>
      <c r="D55" s="100">
        <v>36</v>
      </c>
      <c r="E55" s="100">
        <v>9.9</v>
      </c>
      <c r="F55" s="100">
        <v>52.2</v>
      </c>
      <c r="G55" s="100">
        <v>37.1</v>
      </c>
      <c r="H55" s="100">
        <v>19.2</v>
      </c>
      <c r="I55" s="100">
        <v>19.7</v>
      </c>
      <c r="J55" s="100">
        <v>25.4</v>
      </c>
      <c r="K55" s="100">
        <v>30.7</v>
      </c>
      <c r="L55" s="101">
        <v>24.8</v>
      </c>
      <c r="M55" s="101">
        <v>13.8</v>
      </c>
      <c r="N55" s="101">
        <v>1.7</v>
      </c>
      <c r="O55" s="101">
        <v>1.7</v>
      </c>
      <c r="P55" s="101">
        <v>0.9</v>
      </c>
      <c r="Q55" s="101">
        <v>1.2</v>
      </c>
      <c r="R55" s="101">
        <v>15</v>
      </c>
      <c r="S55" s="101">
        <v>21.3</v>
      </c>
      <c r="T55" s="101">
        <v>24.4</v>
      </c>
      <c r="U55" s="101">
        <v>23.6</v>
      </c>
      <c r="V55" s="101">
        <v>60.7</v>
      </c>
      <c r="W55" s="101">
        <v>21.6</v>
      </c>
      <c r="X55" s="101">
        <v>17.2</v>
      </c>
      <c r="Y55" s="101">
        <v>5.4</v>
      </c>
      <c r="Z55" s="101">
        <v>21</v>
      </c>
      <c r="AA55" s="101">
        <v>12.4</v>
      </c>
      <c r="AB55" s="101">
        <v>14.1</v>
      </c>
      <c r="AC55" s="101">
        <v>15</v>
      </c>
      <c r="AD55" s="101">
        <v>14.3</v>
      </c>
      <c r="AE55" s="101">
        <v>55.4</v>
      </c>
      <c r="AF55" s="101">
        <v>20.100000000000001</v>
      </c>
      <c r="AG55" s="101">
        <v>25.4</v>
      </c>
      <c r="AH55" s="101">
        <v>87.4</v>
      </c>
      <c r="AI55" s="101">
        <v>22.2</v>
      </c>
      <c r="AJ55" s="101">
        <v>90.9</v>
      </c>
      <c r="AK55" s="101">
        <v>38.4</v>
      </c>
      <c r="AL55" s="101">
        <v>28.1</v>
      </c>
      <c r="AM55" s="101">
        <v>22.8</v>
      </c>
      <c r="AN55" s="101">
        <v>49.8</v>
      </c>
      <c r="AO55" s="101">
        <v>34.9</v>
      </c>
      <c r="AP55" s="101">
        <v>31.2</v>
      </c>
      <c r="AQ55" s="101">
        <v>41.8</v>
      </c>
      <c r="AR55" s="101">
        <v>70.400000000000006</v>
      </c>
      <c r="AS55" s="101">
        <v>40.6</v>
      </c>
      <c r="AT55" s="101">
        <v>42.7</v>
      </c>
      <c r="AU55" s="101">
        <v>30.8</v>
      </c>
      <c r="AV55" s="101">
        <v>21.9</v>
      </c>
      <c r="AW55" s="101">
        <v>12.6</v>
      </c>
    </row>
    <row r="56" spans="1:49" ht="15.75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75"/>
      <c r="W56" s="75"/>
      <c r="X56" s="75"/>
      <c r="Y56" s="75"/>
      <c r="Z56" s="75"/>
      <c r="AA56" s="75"/>
      <c r="AB56" s="75"/>
      <c r="AC56" s="75"/>
      <c r="AD56" s="83"/>
      <c r="AE56" s="83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</row>
    <row r="57" spans="1:49" ht="15.75">
      <c r="A57" s="63" t="s">
        <v>38</v>
      </c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85"/>
      <c r="AE57" s="85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</row>
    <row r="58" spans="1:49" ht="15.75">
      <c r="A58" s="64" t="s">
        <v>34</v>
      </c>
      <c r="B58" s="65">
        <v>1976</v>
      </c>
      <c r="C58" s="65">
        <v>1977</v>
      </c>
      <c r="D58" s="65">
        <v>1978</v>
      </c>
      <c r="E58" s="65">
        <v>1979</v>
      </c>
      <c r="F58" s="65">
        <v>1980</v>
      </c>
      <c r="G58" s="65">
        <v>1981</v>
      </c>
      <c r="H58" s="65">
        <v>1982</v>
      </c>
      <c r="I58" s="65">
        <v>1983</v>
      </c>
      <c r="J58" s="65">
        <v>1984</v>
      </c>
      <c r="K58" s="65">
        <v>1985</v>
      </c>
      <c r="L58" s="65">
        <v>1986</v>
      </c>
      <c r="M58" s="65">
        <v>1987</v>
      </c>
      <c r="N58" s="65">
        <v>1988</v>
      </c>
      <c r="O58" s="65">
        <v>1989</v>
      </c>
      <c r="P58" s="65">
        <v>1990</v>
      </c>
      <c r="Q58" s="65">
        <v>1991</v>
      </c>
      <c r="R58" s="65">
        <v>1992</v>
      </c>
      <c r="S58" s="65">
        <v>1993</v>
      </c>
      <c r="T58" s="65">
        <v>1994</v>
      </c>
      <c r="U58" s="65">
        <v>1995</v>
      </c>
      <c r="V58" s="65">
        <v>1996</v>
      </c>
      <c r="W58" s="65">
        <v>1997</v>
      </c>
      <c r="X58" s="65">
        <v>1998</v>
      </c>
      <c r="Y58" s="65">
        <v>1999</v>
      </c>
      <c r="Z58" s="65">
        <v>2000</v>
      </c>
      <c r="AA58" s="65">
        <v>2001</v>
      </c>
      <c r="AB58" s="65">
        <v>2002</v>
      </c>
      <c r="AC58" s="65">
        <v>2003</v>
      </c>
      <c r="AD58" s="65">
        <v>2004</v>
      </c>
      <c r="AE58" s="65">
        <v>2005</v>
      </c>
      <c r="AF58" s="65">
        <v>2006</v>
      </c>
      <c r="AG58" s="65">
        <v>2007</v>
      </c>
      <c r="AH58" s="65">
        <v>2008</v>
      </c>
      <c r="AI58" s="65">
        <v>2009</v>
      </c>
      <c r="AJ58" s="65">
        <v>2010</v>
      </c>
      <c r="AK58" s="65">
        <v>2011</v>
      </c>
      <c r="AL58" s="65">
        <v>2012</v>
      </c>
      <c r="AM58" s="65">
        <v>2013</v>
      </c>
      <c r="AN58" s="65">
        <v>2014</v>
      </c>
      <c r="AO58" s="65">
        <v>2015</v>
      </c>
      <c r="AP58" s="65">
        <v>2016</v>
      </c>
      <c r="AQ58" s="65">
        <v>2017</v>
      </c>
      <c r="AR58" s="65">
        <v>2018</v>
      </c>
      <c r="AS58" s="65">
        <v>2019</v>
      </c>
      <c r="AT58" s="65">
        <v>2020</v>
      </c>
      <c r="AU58" s="65">
        <v>2021</v>
      </c>
      <c r="AV58" s="65">
        <v>2022</v>
      </c>
      <c r="AW58" s="65">
        <v>2023</v>
      </c>
    </row>
    <row r="59" spans="1:49" ht="15.75">
      <c r="A59" s="69" t="s">
        <v>6</v>
      </c>
      <c r="B59" s="70">
        <v>25</v>
      </c>
      <c r="C59" s="70">
        <v>21</v>
      </c>
      <c r="D59" s="70">
        <v>22</v>
      </c>
      <c r="E59" s="70">
        <v>34</v>
      </c>
      <c r="F59" s="70">
        <v>21</v>
      </c>
      <c r="G59" s="70">
        <v>19</v>
      </c>
      <c r="H59" s="70">
        <v>19</v>
      </c>
      <c r="I59" s="70">
        <v>12</v>
      </c>
      <c r="J59" s="70">
        <v>8</v>
      </c>
      <c r="K59" s="70">
        <v>18</v>
      </c>
      <c r="L59" s="71">
        <v>10</v>
      </c>
      <c r="M59" s="71">
        <v>6</v>
      </c>
      <c r="N59" s="71">
        <v>12</v>
      </c>
      <c r="O59" s="71">
        <v>10</v>
      </c>
      <c r="P59" s="71">
        <v>5</v>
      </c>
      <c r="Q59" s="71">
        <v>4</v>
      </c>
      <c r="R59" s="71">
        <v>18</v>
      </c>
      <c r="S59" s="71">
        <v>6</v>
      </c>
      <c r="T59" s="71">
        <v>11</v>
      </c>
      <c r="U59" s="71">
        <v>34</v>
      </c>
      <c r="V59" s="71">
        <v>34</v>
      </c>
      <c r="W59" s="71">
        <v>28</v>
      </c>
      <c r="X59" s="71">
        <v>24</v>
      </c>
      <c r="Y59" s="71">
        <v>35</v>
      </c>
      <c r="Z59" s="71">
        <v>30</v>
      </c>
      <c r="AA59" s="71">
        <v>17</v>
      </c>
      <c r="AB59" s="71">
        <v>33</v>
      </c>
      <c r="AC59" s="71">
        <v>19</v>
      </c>
      <c r="AD59" s="71">
        <v>27</v>
      </c>
      <c r="AE59" s="71">
        <v>24</v>
      </c>
      <c r="AF59" s="71">
        <v>21</v>
      </c>
      <c r="AG59" s="71">
        <v>27</v>
      </c>
      <c r="AH59" s="71">
        <v>26</v>
      </c>
      <c r="AI59" s="71">
        <v>21</v>
      </c>
      <c r="AJ59" s="71">
        <v>30</v>
      </c>
      <c r="AK59" s="71">
        <v>31</v>
      </c>
      <c r="AL59" s="71">
        <v>26</v>
      </c>
      <c r="AM59" s="71">
        <v>22</v>
      </c>
      <c r="AN59" s="71">
        <v>24</v>
      </c>
      <c r="AO59" s="71">
        <v>18</v>
      </c>
      <c r="AP59" s="71">
        <v>21</v>
      </c>
      <c r="AQ59" s="71">
        <v>14</v>
      </c>
      <c r="AR59" s="71">
        <v>17</v>
      </c>
      <c r="AS59" s="71">
        <v>16</v>
      </c>
      <c r="AT59" s="71">
        <v>15</v>
      </c>
      <c r="AU59" s="71">
        <v>14</v>
      </c>
      <c r="AV59" s="71">
        <v>16</v>
      </c>
      <c r="AW59" s="71">
        <v>15</v>
      </c>
    </row>
    <row r="60" spans="1:49" ht="15.75">
      <c r="A60" s="69" t="s">
        <v>7</v>
      </c>
      <c r="B60" s="70">
        <v>56</v>
      </c>
      <c r="C60" s="70">
        <v>58</v>
      </c>
      <c r="D60" s="70">
        <v>52</v>
      </c>
      <c r="E60" s="70">
        <v>55</v>
      </c>
      <c r="F60" s="70">
        <v>69</v>
      </c>
      <c r="G60" s="70">
        <v>38</v>
      </c>
      <c r="H60" s="70">
        <v>41</v>
      </c>
      <c r="I60" s="70">
        <v>42</v>
      </c>
      <c r="J60" s="70">
        <v>41</v>
      </c>
      <c r="K60" s="70">
        <v>40</v>
      </c>
      <c r="L60" s="71">
        <v>42</v>
      </c>
      <c r="M60" s="71">
        <v>47</v>
      </c>
      <c r="N60" s="71">
        <v>49</v>
      </c>
      <c r="O60" s="71">
        <v>45</v>
      </c>
      <c r="P60" s="71">
        <v>41</v>
      </c>
      <c r="Q60" s="71">
        <v>30</v>
      </c>
      <c r="R60" s="71">
        <v>54</v>
      </c>
      <c r="S60" s="71">
        <v>61</v>
      </c>
      <c r="T60" s="71">
        <v>56</v>
      </c>
      <c r="U60" s="71">
        <v>49</v>
      </c>
      <c r="V60" s="71">
        <v>49</v>
      </c>
      <c r="W60" s="71">
        <v>64</v>
      </c>
      <c r="X60" s="71">
        <v>52</v>
      </c>
      <c r="Y60" s="71">
        <v>60</v>
      </c>
      <c r="Z60" s="71">
        <v>44</v>
      </c>
      <c r="AA60" s="71">
        <v>54</v>
      </c>
      <c r="AB60" s="71">
        <v>57</v>
      </c>
      <c r="AC60" s="71">
        <v>61</v>
      </c>
      <c r="AD60" s="71">
        <v>68</v>
      </c>
      <c r="AE60" s="71">
        <v>41</v>
      </c>
      <c r="AF60" s="71">
        <v>81</v>
      </c>
      <c r="AG60" s="71">
        <v>53</v>
      </c>
      <c r="AH60" s="71">
        <v>55</v>
      </c>
      <c r="AI60" s="71">
        <v>68</v>
      </c>
      <c r="AJ60" s="71">
        <v>76</v>
      </c>
      <c r="AK60" s="71">
        <v>55</v>
      </c>
      <c r="AL60" s="71">
        <v>56</v>
      </c>
      <c r="AM60" s="71">
        <v>55</v>
      </c>
      <c r="AN60" s="71">
        <v>51</v>
      </c>
      <c r="AO60" s="71">
        <v>41</v>
      </c>
      <c r="AP60" s="71">
        <v>48</v>
      </c>
      <c r="AQ60" s="71">
        <v>50</v>
      </c>
      <c r="AR60" s="71">
        <v>41</v>
      </c>
      <c r="AS60" s="71">
        <v>40</v>
      </c>
      <c r="AT60" s="71">
        <v>41</v>
      </c>
      <c r="AU60" s="71">
        <v>37</v>
      </c>
      <c r="AV60" s="71">
        <v>34</v>
      </c>
      <c r="AW60" s="71">
        <v>40</v>
      </c>
    </row>
    <row r="61" spans="1:49" ht="15.75">
      <c r="A61" s="69" t="s">
        <v>8</v>
      </c>
      <c r="B61" s="70">
        <v>84</v>
      </c>
      <c r="C61" s="70">
        <v>84</v>
      </c>
      <c r="D61" s="70">
        <v>84</v>
      </c>
      <c r="E61" s="70">
        <v>81</v>
      </c>
      <c r="F61" s="70">
        <v>81</v>
      </c>
      <c r="G61" s="70">
        <v>85</v>
      </c>
      <c r="H61" s="70">
        <v>53</v>
      </c>
      <c r="I61" s="70">
        <v>59</v>
      </c>
      <c r="J61" s="70">
        <v>54</v>
      </c>
      <c r="K61" s="70">
        <v>49</v>
      </c>
      <c r="L61" s="71">
        <v>59</v>
      </c>
      <c r="M61" s="71">
        <v>54</v>
      </c>
      <c r="N61" s="71">
        <v>58</v>
      </c>
      <c r="O61" s="71">
        <v>59</v>
      </c>
      <c r="P61" s="71">
        <v>58</v>
      </c>
      <c r="Q61" s="71">
        <v>87</v>
      </c>
      <c r="R61" s="71">
        <v>83</v>
      </c>
      <c r="S61" s="71">
        <v>79</v>
      </c>
      <c r="T61" s="71">
        <v>94</v>
      </c>
      <c r="U61" s="71">
        <v>84</v>
      </c>
      <c r="V61" s="71">
        <v>84</v>
      </c>
      <c r="W61" s="71">
        <v>99</v>
      </c>
      <c r="X61" s="71">
        <v>79</v>
      </c>
      <c r="Y61" s="71">
        <v>77</v>
      </c>
      <c r="Z61" s="71">
        <v>76</v>
      </c>
      <c r="AA61" s="71">
        <v>79</v>
      </c>
      <c r="AB61" s="71">
        <v>79</v>
      </c>
      <c r="AC61" s="71">
        <v>78</v>
      </c>
      <c r="AD61" s="71">
        <v>102</v>
      </c>
      <c r="AE61" s="71">
        <v>88</v>
      </c>
      <c r="AF61" s="71">
        <v>83</v>
      </c>
      <c r="AG61" s="71">
        <v>92</v>
      </c>
      <c r="AH61" s="71">
        <v>82</v>
      </c>
      <c r="AI61" s="71">
        <v>93</v>
      </c>
      <c r="AJ61" s="71">
        <v>116</v>
      </c>
      <c r="AK61" s="71">
        <v>109</v>
      </c>
      <c r="AL61" s="71">
        <v>88</v>
      </c>
      <c r="AM61" s="71">
        <v>90</v>
      </c>
      <c r="AN61" s="71">
        <v>95</v>
      </c>
      <c r="AO61" s="71">
        <v>96</v>
      </c>
      <c r="AP61" s="71">
        <v>79</v>
      </c>
      <c r="AQ61" s="71">
        <v>91</v>
      </c>
      <c r="AR61" s="71">
        <v>72</v>
      </c>
      <c r="AS61" s="71">
        <v>57</v>
      </c>
      <c r="AT61" s="71">
        <v>50</v>
      </c>
      <c r="AU61" s="71">
        <v>49</v>
      </c>
      <c r="AV61" s="71">
        <v>46</v>
      </c>
      <c r="AW61" s="71">
        <v>46</v>
      </c>
    </row>
    <row r="62" spans="1:49" ht="15.75">
      <c r="A62" s="69" t="s">
        <v>9</v>
      </c>
      <c r="B62" s="70">
        <v>105</v>
      </c>
      <c r="C62" s="70">
        <v>105</v>
      </c>
      <c r="D62" s="70">
        <v>105</v>
      </c>
      <c r="E62" s="70">
        <v>105</v>
      </c>
      <c r="F62" s="70">
        <v>102</v>
      </c>
      <c r="G62" s="70">
        <v>97</v>
      </c>
      <c r="H62" s="70">
        <v>91</v>
      </c>
      <c r="I62" s="70">
        <v>67</v>
      </c>
      <c r="J62" s="70">
        <v>68</v>
      </c>
      <c r="K62" s="70">
        <v>67</v>
      </c>
      <c r="L62" s="71">
        <v>75</v>
      </c>
      <c r="M62" s="71">
        <v>67</v>
      </c>
      <c r="N62" s="71">
        <v>75</v>
      </c>
      <c r="O62" s="71">
        <v>75</v>
      </c>
      <c r="P62" s="71">
        <v>79</v>
      </c>
      <c r="Q62" s="71">
        <v>97</v>
      </c>
      <c r="R62" s="71">
        <v>96</v>
      </c>
      <c r="S62" s="71">
        <v>112</v>
      </c>
      <c r="T62" s="71">
        <v>120</v>
      </c>
      <c r="U62" s="71">
        <v>118</v>
      </c>
      <c r="V62" s="71">
        <v>118</v>
      </c>
      <c r="W62" s="71">
        <v>116</v>
      </c>
      <c r="X62" s="71">
        <v>101</v>
      </c>
      <c r="Y62" s="71">
        <v>95</v>
      </c>
      <c r="Z62" s="71">
        <v>96</v>
      </c>
      <c r="AA62" s="71">
        <v>97</v>
      </c>
      <c r="AB62" s="71">
        <v>102</v>
      </c>
      <c r="AC62" s="71">
        <v>107</v>
      </c>
      <c r="AD62" s="71">
        <v>124</v>
      </c>
      <c r="AE62" s="71">
        <v>109</v>
      </c>
      <c r="AF62" s="71">
        <v>118</v>
      </c>
      <c r="AG62" s="71">
        <v>99</v>
      </c>
      <c r="AH62" s="71">
        <v>123</v>
      </c>
      <c r="AI62" s="71">
        <v>108</v>
      </c>
      <c r="AJ62" s="71">
        <v>117</v>
      </c>
      <c r="AK62" s="71">
        <v>122</v>
      </c>
      <c r="AL62" s="71">
        <v>119</v>
      </c>
      <c r="AM62" s="71">
        <v>112</v>
      </c>
      <c r="AN62" s="71">
        <v>118</v>
      </c>
      <c r="AO62" s="71">
        <v>127</v>
      </c>
      <c r="AP62" s="71">
        <v>112</v>
      </c>
      <c r="AQ62" s="71">
        <v>108</v>
      </c>
      <c r="AR62" s="71">
        <v>93</v>
      </c>
      <c r="AS62" s="71">
        <v>85</v>
      </c>
      <c r="AT62" s="71">
        <v>68</v>
      </c>
      <c r="AU62" s="71">
        <v>58</v>
      </c>
      <c r="AV62" s="71">
        <v>55</v>
      </c>
      <c r="AW62" s="71">
        <v>60</v>
      </c>
    </row>
    <row r="63" spans="1:49" ht="15.75">
      <c r="A63" s="69" t="s">
        <v>10</v>
      </c>
      <c r="B63" s="70">
        <v>118</v>
      </c>
      <c r="C63" s="70">
        <v>118</v>
      </c>
      <c r="D63" s="70">
        <v>118</v>
      </c>
      <c r="E63" s="70">
        <v>118</v>
      </c>
      <c r="F63" s="70">
        <v>118</v>
      </c>
      <c r="G63" s="70">
        <v>116</v>
      </c>
      <c r="H63" s="70">
        <v>106</v>
      </c>
      <c r="I63" s="70">
        <v>93</v>
      </c>
      <c r="J63" s="70">
        <v>84</v>
      </c>
      <c r="K63" s="70">
        <v>83</v>
      </c>
      <c r="L63" s="71">
        <v>93</v>
      </c>
      <c r="M63" s="71">
        <v>89</v>
      </c>
      <c r="N63" s="71">
        <v>89</v>
      </c>
      <c r="O63" s="71">
        <v>93</v>
      </c>
      <c r="P63" s="71">
        <v>91</v>
      </c>
      <c r="Q63" s="71">
        <v>99</v>
      </c>
      <c r="R63" s="71">
        <v>99</v>
      </c>
      <c r="S63" s="71">
        <v>134</v>
      </c>
      <c r="T63" s="71">
        <v>135</v>
      </c>
      <c r="U63" s="71">
        <v>143</v>
      </c>
      <c r="V63" s="71">
        <v>143</v>
      </c>
      <c r="W63" s="71">
        <v>134</v>
      </c>
      <c r="X63" s="71">
        <v>118</v>
      </c>
      <c r="Y63" s="71">
        <v>102</v>
      </c>
      <c r="Z63" s="71">
        <v>107</v>
      </c>
      <c r="AA63" s="71">
        <v>115</v>
      </c>
      <c r="AB63" s="71">
        <v>112</v>
      </c>
      <c r="AC63" s="71">
        <v>117</v>
      </c>
      <c r="AD63" s="71">
        <v>111</v>
      </c>
      <c r="AE63" s="71">
        <v>122</v>
      </c>
      <c r="AF63" s="71">
        <v>113</v>
      </c>
      <c r="AG63" s="71">
        <v>111</v>
      </c>
      <c r="AH63" s="71">
        <v>123</v>
      </c>
      <c r="AI63" s="71">
        <v>115</v>
      </c>
      <c r="AJ63" s="71">
        <v>109</v>
      </c>
      <c r="AK63" s="71">
        <v>108</v>
      </c>
      <c r="AL63" s="71">
        <v>128</v>
      </c>
      <c r="AM63" s="71">
        <v>128</v>
      </c>
      <c r="AN63" s="71">
        <v>126</v>
      </c>
      <c r="AO63" s="71">
        <v>132</v>
      </c>
      <c r="AP63" s="71">
        <v>122</v>
      </c>
      <c r="AQ63" s="71">
        <v>130</v>
      </c>
      <c r="AR63" s="71">
        <v>108</v>
      </c>
      <c r="AS63" s="71">
        <v>101</v>
      </c>
      <c r="AT63" s="71">
        <v>97</v>
      </c>
      <c r="AU63" s="71">
        <v>84</v>
      </c>
      <c r="AV63" s="71">
        <v>73</v>
      </c>
      <c r="AW63" s="71">
        <v>78</v>
      </c>
    </row>
    <row r="64" spans="1:49" ht="15.75">
      <c r="A64" s="64" t="s">
        <v>35</v>
      </c>
      <c r="B64" s="102">
        <v>127</v>
      </c>
      <c r="C64" s="102">
        <v>127</v>
      </c>
      <c r="D64" s="102">
        <v>127</v>
      </c>
      <c r="E64" s="102">
        <v>127</v>
      </c>
      <c r="F64" s="102">
        <v>127</v>
      </c>
      <c r="G64" s="102">
        <v>127</v>
      </c>
      <c r="H64" s="102">
        <v>125</v>
      </c>
      <c r="I64" s="102">
        <v>111</v>
      </c>
      <c r="J64" s="102">
        <v>108</v>
      </c>
      <c r="K64" s="102">
        <v>103</v>
      </c>
      <c r="L64" s="103">
        <v>115</v>
      </c>
      <c r="M64" s="103">
        <v>108</v>
      </c>
      <c r="N64" s="103">
        <v>101</v>
      </c>
      <c r="O64" s="103">
        <v>108</v>
      </c>
      <c r="P64" s="103">
        <v>105</v>
      </c>
      <c r="Q64" s="103">
        <v>108</v>
      </c>
      <c r="R64" s="103">
        <v>111</v>
      </c>
      <c r="S64" s="103">
        <v>133</v>
      </c>
      <c r="T64" s="103">
        <v>140</v>
      </c>
      <c r="U64" s="103">
        <v>156</v>
      </c>
      <c r="V64" s="103">
        <v>150</v>
      </c>
      <c r="W64" s="103">
        <v>154</v>
      </c>
      <c r="X64" s="103">
        <v>122</v>
      </c>
      <c r="Y64" s="103">
        <v>127</v>
      </c>
      <c r="Z64" s="103">
        <v>123</v>
      </c>
      <c r="AA64" s="103">
        <v>129</v>
      </c>
      <c r="AB64" s="103">
        <v>132</v>
      </c>
      <c r="AC64" s="103">
        <v>138</v>
      </c>
      <c r="AD64" s="103">
        <v>118</v>
      </c>
      <c r="AE64" s="103">
        <v>143</v>
      </c>
      <c r="AF64" s="103">
        <v>108</v>
      </c>
      <c r="AG64" s="103">
        <v>110</v>
      </c>
      <c r="AH64" s="103">
        <v>142</v>
      </c>
      <c r="AI64" s="103">
        <v>127</v>
      </c>
      <c r="AJ64" s="103">
        <v>119</v>
      </c>
      <c r="AK64" s="103">
        <v>119</v>
      </c>
      <c r="AL64" s="103">
        <v>175</v>
      </c>
      <c r="AM64" s="103">
        <v>181</v>
      </c>
      <c r="AN64" s="103">
        <v>155</v>
      </c>
      <c r="AO64" s="103">
        <v>142</v>
      </c>
      <c r="AP64" s="103">
        <v>139</v>
      </c>
      <c r="AQ64" s="103">
        <v>143</v>
      </c>
      <c r="AR64" s="103">
        <v>132</v>
      </c>
      <c r="AS64" s="103">
        <v>119</v>
      </c>
      <c r="AT64" s="103">
        <v>119</v>
      </c>
      <c r="AU64" s="103">
        <v>111</v>
      </c>
      <c r="AV64" s="103">
        <v>104</v>
      </c>
      <c r="AW64" s="103">
        <v>94</v>
      </c>
    </row>
    <row r="65" spans="1:40">
      <c r="A65" s="10"/>
      <c r="B65" s="34"/>
      <c r="C65" s="34"/>
      <c r="D65" s="34"/>
      <c r="E65" s="34"/>
      <c r="F65" s="34"/>
      <c r="G65" s="34"/>
      <c r="H65" s="34"/>
      <c r="I65" s="34"/>
      <c r="J65" s="34"/>
      <c r="K65" s="10"/>
      <c r="L65" s="34"/>
      <c r="M65" s="34"/>
      <c r="N65" s="34"/>
      <c r="O65" s="34"/>
      <c r="P65" s="34"/>
      <c r="Q65" s="34"/>
      <c r="R65" s="34"/>
      <c r="S65" s="34"/>
      <c r="T65" s="34"/>
      <c r="U65" s="10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10"/>
      <c r="AG65" s="34"/>
      <c r="AH65" s="34"/>
      <c r="AI65" s="34"/>
      <c r="AJ65" s="34"/>
      <c r="AK65" s="34"/>
      <c r="AL65" s="34"/>
      <c r="AM65" s="34"/>
      <c r="AN65" s="34"/>
    </row>
    <row r="66" spans="1:40">
      <c r="A66" s="10"/>
      <c r="B66" s="34"/>
      <c r="C66" s="34"/>
      <c r="D66" s="34"/>
      <c r="E66" s="34"/>
      <c r="F66" s="34"/>
      <c r="G66" s="34"/>
      <c r="H66" s="34"/>
      <c r="I66" s="34"/>
      <c r="J66" s="34"/>
      <c r="K66" s="10"/>
      <c r="L66" s="34"/>
      <c r="M66" s="34"/>
      <c r="N66" s="34"/>
      <c r="O66" s="34"/>
      <c r="P66" s="34"/>
      <c r="Q66" s="34"/>
      <c r="R66" s="34"/>
      <c r="S66" s="34"/>
      <c r="T66" s="34"/>
      <c r="U66" s="10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10"/>
      <c r="AG66" s="34"/>
      <c r="AH66" s="34"/>
      <c r="AI66" s="34"/>
      <c r="AJ66" s="34"/>
      <c r="AK66" s="34"/>
      <c r="AL66" s="34"/>
      <c r="AM66" s="34"/>
      <c r="AN66" s="34"/>
    </row>
    <row r="67" spans="1:40">
      <c r="A67" s="10"/>
      <c r="B67" s="34"/>
      <c r="C67" s="34"/>
      <c r="D67" s="34"/>
      <c r="E67" s="34"/>
      <c r="F67" s="34"/>
      <c r="G67" s="34"/>
      <c r="H67" s="34"/>
      <c r="I67" s="34"/>
      <c r="J67" s="34"/>
      <c r="K67" s="10"/>
      <c r="L67" s="34"/>
      <c r="M67" s="34"/>
      <c r="N67" s="34"/>
      <c r="O67" s="34"/>
      <c r="P67" s="34"/>
      <c r="Q67" s="34"/>
      <c r="R67" s="34"/>
      <c r="S67" s="34"/>
      <c r="T67" s="34"/>
      <c r="U67" s="10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10"/>
      <c r="AG67" s="34"/>
      <c r="AH67" s="34"/>
      <c r="AI67" s="34"/>
      <c r="AJ67" s="34"/>
      <c r="AK67" s="34"/>
      <c r="AL67" s="34"/>
      <c r="AM67" s="34"/>
      <c r="AN67" s="34"/>
    </row>
    <row r="68" spans="1:40">
      <c r="A68" s="10"/>
      <c r="B68" s="34"/>
      <c r="C68" s="34"/>
      <c r="D68" s="34"/>
      <c r="E68" s="34"/>
      <c r="F68" s="34"/>
      <c r="G68" s="34"/>
      <c r="H68" s="34"/>
      <c r="I68" s="34"/>
      <c r="J68" s="34"/>
      <c r="K68" s="10"/>
      <c r="L68" s="34"/>
      <c r="M68" s="34"/>
      <c r="N68" s="34"/>
      <c r="O68" s="34"/>
      <c r="P68" s="34"/>
      <c r="Q68" s="34"/>
      <c r="R68" s="34"/>
      <c r="S68" s="34"/>
      <c r="T68" s="34"/>
      <c r="U68" s="10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10"/>
      <c r="AG68" s="34"/>
      <c r="AH68" s="34"/>
      <c r="AI68" s="34"/>
      <c r="AJ68" s="34"/>
      <c r="AK68" s="34"/>
      <c r="AL68" s="34"/>
      <c r="AM68" s="34"/>
      <c r="AN68" s="34"/>
    </row>
    <row r="69" spans="1:40">
      <c r="B69" s="34"/>
      <c r="C69" s="34"/>
      <c r="D69" s="34"/>
      <c r="E69" s="34"/>
      <c r="F69" s="34"/>
      <c r="G69" s="34"/>
      <c r="H69" s="34"/>
      <c r="I69" s="34"/>
      <c r="J69" s="34"/>
      <c r="K69" s="1"/>
      <c r="L69" s="34"/>
      <c r="M69" s="34"/>
      <c r="N69" s="34"/>
      <c r="O69" s="34"/>
      <c r="P69" s="34"/>
      <c r="Q69" s="34"/>
      <c r="R69" s="34"/>
      <c r="S69" s="34"/>
      <c r="T69" s="34"/>
      <c r="U69" s="1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10"/>
      <c r="AG69" s="34"/>
      <c r="AH69" s="34"/>
      <c r="AI69" s="34"/>
      <c r="AJ69" s="34"/>
      <c r="AK69" s="34"/>
      <c r="AL69" s="34"/>
      <c r="AM69" s="34"/>
      <c r="AN69" s="34"/>
    </row>
    <row r="70" spans="1:40">
      <c r="B70" s="34"/>
      <c r="C70" s="34"/>
      <c r="D70" s="34"/>
      <c r="E70" s="34"/>
      <c r="F70" s="34"/>
      <c r="G70" s="34"/>
      <c r="H70" s="34"/>
      <c r="I70" s="34"/>
      <c r="J70" s="34"/>
      <c r="K70" s="1"/>
      <c r="L70" s="34"/>
      <c r="M70" s="34"/>
      <c r="N70" s="34"/>
      <c r="O70" s="34"/>
      <c r="P70" s="34"/>
      <c r="Q70" s="34"/>
      <c r="R70" s="34"/>
      <c r="S70" s="34"/>
      <c r="T70" s="34"/>
      <c r="U70" s="1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10"/>
      <c r="AG70" s="34"/>
      <c r="AH70" s="34"/>
      <c r="AI70" s="34"/>
      <c r="AJ70" s="34"/>
      <c r="AK70" s="34"/>
      <c r="AL70" s="34"/>
      <c r="AM70" s="34"/>
      <c r="AN70" s="34"/>
    </row>
    <row r="71" spans="1:40">
      <c r="B71" s="34"/>
      <c r="C71" s="34"/>
      <c r="D71" s="34"/>
      <c r="E71" s="34"/>
      <c r="F71" s="34"/>
      <c r="G71" s="34"/>
      <c r="H71" s="34"/>
      <c r="I71" s="34"/>
      <c r="J71" s="34"/>
      <c r="K71" s="175"/>
      <c r="L71" s="34"/>
      <c r="M71" s="34"/>
      <c r="N71" s="34"/>
      <c r="O71" s="34"/>
      <c r="P71" s="34"/>
      <c r="Q71" s="34"/>
      <c r="R71" s="34"/>
      <c r="S71" s="34"/>
      <c r="T71" s="34"/>
      <c r="U71" s="175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175"/>
      <c r="AG71" s="34"/>
      <c r="AH71" s="34"/>
      <c r="AI71" s="34"/>
      <c r="AJ71" s="34"/>
      <c r="AK71" s="34"/>
      <c r="AL71" s="34"/>
      <c r="AM71" s="34"/>
      <c r="AN71" s="34"/>
    </row>
    <row r="72" spans="1:40">
      <c r="K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  <c r="AM72" s="175"/>
      <c r="AN72" s="175"/>
    </row>
    <row r="73" spans="1:40">
      <c r="K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5"/>
      <c r="AB73" s="175"/>
      <c r="AC73" s="175"/>
      <c r="AD73" s="175"/>
      <c r="AE73" s="175"/>
      <c r="AF73" s="175"/>
      <c r="AG73" s="175"/>
      <c r="AH73" s="175"/>
      <c r="AI73" s="175"/>
      <c r="AJ73" s="175"/>
      <c r="AK73" s="175"/>
      <c r="AL73" s="175"/>
      <c r="AM73" s="175"/>
      <c r="AN73" s="175"/>
    </row>
    <row r="74" spans="1:40">
      <c r="K74" s="2"/>
      <c r="N74" s="2"/>
      <c r="O74" s="10"/>
      <c r="P74" s="10"/>
      <c r="Q74" s="10"/>
      <c r="R74" s="10"/>
      <c r="S74" s="10"/>
      <c r="T74" s="10"/>
      <c r="U74" s="2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</row>
    <row r="75" spans="1:40">
      <c r="K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 spans="1:40">
      <c r="K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</row>
    <row r="77" spans="1:40">
      <c r="K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 spans="1:40">
      <c r="K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</row>
    <row r="79" spans="1:40">
      <c r="K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 spans="1:40">
      <c r="K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</row>
    <row r="81" spans="11:40">
      <c r="K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 spans="11:40">
      <c r="K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</row>
    <row r="83" spans="11:40">
      <c r="K83" s="1"/>
      <c r="N83" s="10"/>
      <c r="O83" s="10"/>
      <c r="P83" s="10"/>
      <c r="Q83" s="10"/>
      <c r="R83" s="10"/>
      <c r="S83" s="10"/>
      <c r="T83" s="10"/>
      <c r="U83" s="1"/>
      <c r="V83" s="10"/>
      <c r="W83" s="10"/>
      <c r="X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 spans="11:40">
      <c r="K84" s="2"/>
      <c r="N84" s="2"/>
      <c r="O84" s="10"/>
      <c r="P84" s="10"/>
      <c r="Q84" s="10"/>
      <c r="R84" s="10"/>
      <c r="S84" s="10"/>
      <c r="T84" s="10"/>
      <c r="U84" s="2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</row>
    <row r="85" spans="11:40">
      <c r="K85" s="2"/>
      <c r="N85" s="2"/>
      <c r="O85" s="10"/>
      <c r="P85" s="10"/>
      <c r="Q85" s="10"/>
      <c r="R85" s="10"/>
      <c r="S85" s="10"/>
      <c r="T85" s="10"/>
      <c r="U85" s="2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spans="11:40">
      <c r="K86" s="1"/>
      <c r="N86" s="1"/>
      <c r="O86" s="1"/>
      <c r="P86" s="1"/>
      <c r="Q86" s="1"/>
      <c r="R86" s="1"/>
      <c r="S86" s="1"/>
      <c r="T86" s="1"/>
      <c r="U86" s="1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</row>
    <row r="87" spans="11:40">
      <c r="K87" s="175"/>
      <c r="N87" s="175"/>
      <c r="O87" s="175"/>
      <c r="P87" s="175"/>
      <c r="Q87" s="175"/>
      <c r="R87" s="3"/>
      <c r="S87" s="3"/>
      <c r="T87" s="3"/>
      <c r="U87" s="175"/>
      <c r="V87" s="3"/>
      <c r="W87" s="3"/>
      <c r="X87" s="3"/>
      <c r="Y87" s="3"/>
    </row>
    <row r="88" spans="11:40">
      <c r="K88" s="175"/>
      <c r="N88" s="175"/>
      <c r="O88" s="175"/>
      <c r="P88" s="175"/>
      <c r="Q88" s="175"/>
      <c r="R88" s="1"/>
      <c r="S88" s="1"/>
      <c r="T88" s="1"/>
      <c r="U88" s="175"/>
      <c r="Z88" s="175"/>
      <c r="AA88" s="175"/>
      <c r="AB88" s="175"/>
      <c r="AC88" s="175"/>
      <c r="AD88" s="175"/>
      <c r="AE88" s="175"/>
      <c r="AF88" s="175"/>
      <c r="AG88" s="175"/>
      <c r="AH88" s="175"/>
      <c r="AI88" s="175"/>
      <c r="AJ88" s="175"/>
      <c r="AK88" s="175"/>
      <c r="AL88" s="175"/>
      <c r="AM88" s="175"/>
      <c r="AN88" s="175"/>
    </row>
    <row r="89" spans="11:40">
      <c r="K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175"/>
      <c r="AA89" s="175"/>
      <c r="AB89" s="175"/>
      <c r="AC89" s="175"/>
      <c r="AD89" s="175"/>
      <c r="AE89" s="175"/>
      <c r="AF89" s="175"/>
      <c r="AG89" s="175"/>
      <c r="AH89" s="175"/>
      <c r="AI89" s="175"/>
      <c r="AJ89" s="175"/>
      <c r="AK89" s="175"/>
      <c r="AL89" s="175"/>
      <c r="AM89" s="175"/>
      <c r="AN89" s="175"/>
    </row>
    <row r="90" spans="11:40">
      <c r="K90" s="1"/>
      <c r="N90" s="1"/>
      <c r="O90" s="1"/>
      <c r="P90" s="1"/>
      <c r="Q90" s="1"/>
      <c r="R90" s="1"/>
      <c r="S90" s="1"/>
      <c r="T90" s="1"/>
      <c r="U90" s="1"/>
      <c r="Z90" s="175"/>
      <c r="AA90" s="175"/>
      <c r="AB90" s="175"/>
      <c r="AC90" s="175"/>
      <c r="AD90" s="175"/>
      <c r="AE90" s="175"/>
      <c r="AF90" s="175"/>
      <c r="AG90" s="175"/>
      <c r="AH90" s="175"/>
      <c r="AI90" s="175"/>
      <c r="AJ90" s="175"/>
      <c r="AK90" s="175"/>
      <c r="AL90" s="175"/>
      <c r="AM90" s="175"/>
      <c r="AN90" s="175"/>
    </row>
    <row r="91" spans="11:40">
      <c r="K91" s="3"/>
      <c r="N91" s="3"/>
      <c r="O91" s="10"/>
      <c r="P91" s="10"/>
      <c r="Q91" s="10"/>
      <c r="R91" s="10"/>
      <c r="S91" s="10"/>
      <c r="T91" s="10"/>
      <c r="U91" s="3"/>
      <c r="V91" s="10"/>
      <c r="W91" s="10"/>
      <c r="X91" s="10"/>
      <c r="Y91" s="10"/>
      <c r="Z91" s="175"/>
      <c r="AA91" s="175"/>
      <c r="AB91" s="175"/>
      <c r="AC91" s="175"/>
      <c r="AD91" s="175"/>
      <c r="AE91" s="175"/>
      <c r="AF91" s="175"/>
      <c r="AG91" s="175"/>
      <c r="AH91" s="175"/>
      <c r="AI91" s="175"/>
      <c r="AJ91" s="175"/>
      <c r="AK91" s="175"/>
      <c r="AL91" s="175"/>
      <c r="AM91" s="175"/>
      <c r="AN91" s="175"/>
    </row>
    <row r="92" spans="11:40">
      <c r="K92" s="1"/>
      <c r="N92" s="1"/>
      <c r="O92" s="10"/>
      <c r="P92" s="10"/>
      <c r="Q92" s="10"/>
      <c r="R92" s="10"/>
      <c r="S92" s="10"/>
      <c r="T92" s="10"/>
      <c r="U92" s="1"/>
      <c r="V92" s="10"/>
      <c r="W92" s="10"/>
      <c r="X92" s="10"/>
      <c r="Y92" s="10"/>
      <c r="Z92" s="175"/>
      <c r="AA92" s="175"/>
      <c r="AB92" s="175"/>
      <c r="AC92" s="175"/>
      <c r="AD92" s="175"/>
      <c r="AE92" s="175"/>
      <c r="AF92" s="175"/>
      <c r="AG92" s="175"/>
      <c r="AH92" s="175"/>
      <c r="AI92" s="175"/>
      <c r="AJ92" s="175"/>
      <c r="AK92" s="175"/>
      <c r="AL92" s="175"/>
      <c r="AM92" s="175"/>
      <c r="AN92" s="175"/>
    </row>
    <row r="93" spans="11:40">
      <c r="K93" s="2"/>
      <c r="N93" s="2"/>
      <c r="O93" s="10"/>
      <c r="P93" s="10"/>
      <c r="Q93" s="10"/>
      <c r="R93" s="10"/>
      <c r="S93" s="10"/>
      <c r="T93" s="10"/>
      <c r="U93" s="2"/>
      <c r="V93" s="10"/>
      <c r="W93" s="10"/>
      <c r="X93" s="10"/>
      <c r="Y93" s="10"/>
      <c r="Z93" s="175"/>
      <c r="AA93" s="175"/>
      <c r="AB93" s="175"/>
      <c r="AC93" s="175"/>
      <c r="AD93" s="175"/>
      <c r="AE93" s="175"/>
      <c r="AF93" s="175"/>
      <c r="AG93" s="175"/>
      <c r="AH93" s="175"/>
      <c r="AI93" s="175"/>
      <c r="AJ93" s="175"/>
      <c r="AK93" s="175"/>
      <c r="AL93" s="175"/>
      <c r="AM93" s="175"/>
      <c r="AN93" s="175"/>
    </row>
    <row r="94" spans="11:40">
      <c r="K94" s="1"/>
      <c r="N94" s="1"/>
      <c r="O94" s="1"/>
      <c r="P94" s="1"/>
      <c r="Q94" s="1"/>
      <c r="R94" s="1"/>
      <c r="S94" s="1"/>
      <c r="T94" s="1"/>
      <c r="U94" s="1"/>
      <c r="Z94" s="175"/>
      <c r="AA94" s="175"/>
      <c r="AB94" s="175"/>
      <c r="AC94" s="175"/>
      <c r="AD94" s="175"/>
      <c r="AE94" s="175"/>
      <c r="AF94" s="175"/>
      <c r="AG94" s="175"/>
      <c r="AH94" s="175"/>
      <c r="AI94" s="175"/>
      <c r="AJ94" s="175"/>
      <c r="AK94" s="175"/>
      <c r="AL94" s="175"/>
      <c r="AM94" s="175"/>
      <c r="AN94" s="175"/>
    </row>
    <row r="95" spans="11:40">
      <c r="K95" s="1"/>
      <c r="N95" s="1"/>
      <c r="O95" s="1"/>
      <c r="P95" s="1"/>
      <c r="Q95" s="1"/>
      <c r="R95" s="1"/>
      <c r="S95" s="1"/>
      <c r="T95" s="1"/>
      <c r="U95" s="1"/>
      <c r="Z95" s="175"/>
      <c r="AA95" s="175"/>
      <c r="AB95" s="175"/>
      <c r="AC95" s="175"/>
      <c r="AD95" s="175"/>
      <c r="AE95" s="175"/>
      <c r="AF95" s="175"/>
      <c r="AG95" s="175"/>
      <c r="AH95" s="175"/>
      <c r="AI95" s="175"/>
      <c r="AJ95" s="175"/>
      <c r="AK95" s="175"/>
      <c r="AL95" s="175"/>
      <c r="AM95" s="175"/>
      <c r="AN95" s="175"/>
    </row>
    <row r="96" spans="11:40">
      <c r="S96" s="3"/>
      <c r="T96" s="3"/>
      <c r="V96" s="3"/>
      <c r="W96" s="3"/>
      <c r="X96" s="3"/>
      <c r="Y96" s="3"/>
      <c r="Z96" s="175"/>
      <c r="AA96" s="175"/>
      <c r="AB96" s="175"/>
      <c r="AC96" s="175"/>
      <c r="AD96" s="175"/>
      <c r="AE96" s="175"/>
      <c r="AF96" s="175"/>
      <c r="AG96" s="175"/>
      <c r="AH96" s="175"/>
      <c r="AI96" s="175"/>
      <c r="AJ96" s="175"/>
      <c r="AK96" s="175"/>
      <c r="AL96" s="175"/>
      <c r="AM96" s="175"/>
      <c r="AN96" s="175"/>
    </row>
    <row r="97" spans="1:40">
      <c r="S97" s="4"/>
      <c r="T97" s="1"/>
      <c r="Z97" s="175"/>
      <c r="AA97" s="175"/>
      <c r="AB97" s="175"/>
      <c r="AC97" s="175"/>
      <c r="AD97" s="175"/>
      <c r="AE97" s="175"/>
      <c r="AF97" s="175"/>
      <c r="AG97" s="175"/>
      <c r="AH97" s="175"/>
      <c r="AI97" s="175"/>
      <c r="AJ97" s="175"/>
      <c r="AK97" s="175"/>
      <c r="AL97" s="175"/>
      <c r="AM97" s="175"/>
      <c r="AN97" s="175"/>
    </row>
    <row r="98" spans="1:40">
      <c r="S98" s="4"/>
      <c r="T98" s="1"/>
      <c r="Z98" s="175"/>
      <c r="AA98" s="175"/>
      <c r="AB98" s="175"/>
      <c r="AC98" s="175"/>
      <c r="AD98" s="175"/>
      <c r="AE98" s="175"/>
      <c r="AF98" s="175"/>
      <c r="AG98" s="175"/>
      <c r="AH98" s="175"/>
      <c r="AI98" s="175"/>
      <c r="AJ98" s="175"/>
      <c r="AK98" s="175"/>
      <c r="AL98" s="175"/>
      <c r="AM98" s="175"/>
      <c r="AN98" s="175"/>
    </row>
    <row r="99" spans="1:40">
      <c r="K99" s="2"/>
      <c r="N99" s="2"/>
      <c r="O99" s="10"/>
      <c r="P99" s="10"/>
      <c r="Q99" s="10"/>
      <c r="R99" s="10"/>
      <c r="S99" s="10"/>
      <c r="T99" s="10"/>
      <c r="U99" s="2"/>
      <c r="V99" s="10"/>
      <c r="W99" s="10"/>
      <c r="X99" s="10"/>
      <c r="Y99" s="10"/>
      <c r="Z99" s="175"/>
      <c r="AA99" s="175"/>
      <c r="AB99" s="175"/>
      <c r="AC99" s="175"/>
      <c r="AD99" s="175"/>
      <c r="AE99" s="175"/>
      <c r="AF99" s="175"/>
      <c r="AG99" s="175"/>
      <c r="AH99" s="175"/>
      <c r="AI99" s="175"/>
      <c r="AJ99" s="175"/>
      <c r="AK99" s="175"/>
      <c r="AL99" s="175"/>
      <c r="AM99" s="175"/>
      <c r="AN99" s="175"/>
    </row>
    <row r="100" spans="1:40">
      <c r="K100" s="1"/>
      <c r="N100" s="1"/>
      <c r="O100" s="10"/>
      <c r="P100" s="10"/>
      <c r="Q100" s="10"/>
      <c r="R100" s="10"/>
      <c r="S100" s="10"/>
      <c r="T100" s="10"/>
      <c r="U100" s="1"/>
      <c r="V100" s="10"/>
      <c r="W100" s="10"/>
      <c r="X100" s="10"/>
      <c r="Z100" s="175"/>
      <c r="AA100" s="175"/>
      <c r="AB100" s="175"/>
      <c r="AC100" s="175"/>
      <c r="AD100" s="175"/>
      <c r="AE100" s="175"/>
      <c r="AF100" s="175"/>
      <c r="AG100" s="175"/>
      <c r="AH100" s="175"/>
      <c r="AI100" s="175"/>
      <c r="AJ100" s="175"/>
      <c r="AK100" s="175"/>
      <c r="AL100" s="175"/>
      <c r="AM100" s="175"/>
      <c r="AN100" s="175"/>
    </row>
    <row r="101" spans="1:40">
      <c r="K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75"/>
      <c r="AK101" s="175"/>
      <c r="AL101" s="175"/>
      <c r="AM101" s="175"/>
      <c r="AN101" s="175"/>
    </row>
    <row r="102" spans="1:40">
      <c r="K102" s="10"/>
      <c r="N102" s="10"/>
      <c r="O102" s="10"/>
      <c r="P102" s="10"/>
      <c r="Q102" s="10"/>
      <c r="R102" s="1"/>
      <c r="S102" s="1"/>
      <c r="T102" s="1"/>
      <c r="U102" s="10"/>
      <c r="Z102" s="175"/>
      <c r="AA102" s="175"/>
      <c r="AB102" s="175"/>
      <c r="AC102" s="175"/>
      <c r="AD102" s="175"/>
      <c r="AE102" s="175"/>
      <c r="AF102" s="175"/>
      <c r="AG102" s="175"/>
      <c r="AH102" s="175"/>
      <c r="AI102" s="175"/>
      <c r="AJ102" s="175"/>
      <c r="AK102" s="175"/>
      <c r="AL102" s="175"/>
      <c r="AM102" s="175"/>
      <c r="AN102" s="175"/>
    </row>
    <row r="103" spans="1:40">
      <c r="K103" s="10"/>
      <c r="N103" s="10"/>
      <c r="O103" s="10"/>
      <c r="P103" s="10"/>
      <c r="Q103" s="10"/>
      <c r="R103" s="1"/>
      <c r="S103" s="1"/>
      <c r="T103" s="1"/>
      <c r="U103" s="10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5"/>
      <c r="AL103" s="175"/>
      <c r="AM103" s="175"/>
      <c r="AN103" s="175"/>
    </row>
    <row r="104" spans="1:40">
      <c r="K104" s="10"/>
      <c r="N104" s="10"/>
      <c r="O104" s="10"/>
      <c r="P104" s="10"/>
      <c r="Q104" s="10"/>
      <c r="R104" s="1"/>
      <c r="S104" s="1"/>
      <c r="T104" s="1"/>
      <c r="U104" s="10"/>
      <c r="Z104" s="175"/>
      <c r="AA104" s="175"/>
      <c r="AB104" s="175"/>
      <c r="AC104" s="175"/>
      <c r="AD104" s="175"/>
      <c r="AE104" s="175"/>
      <c r="AF104" s="175"/>
      <c r="AG104" s="175"/>
      <c r="AH104" s="175"/>
      <c r="AI104" s="175"/>
      <c r="AJ104" s="175"/>
      <c r="AK104" s="175"/>
      <c r="AL104" s="175"/>
      <c r="AM104" s="175"/>
      <c r="AN104" s="175"/>
    </row>
    <row r="105" spans="1:40">
      <c r="K105" s="10"/>
      <c r="N105" s="10"/>
      <c r="O105" s="10"/>
      <c r="P105" s="10"/>
      <c r="Q105" s="10"/>
      <c r="R105" s="1"/>
      <c r="S105" s="1"/>
      <c r="T105" s="1"/>
      <c r="U105" s="10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  <c r="AM105" s="175"/>
      <c r="AN105" s="175"/>
    </row>
    <row r="106" spans="1:40">
      <c r="K106" s="1"/>
      <c r="N106" s="1"/>
      <c r="O106" s="1"/>
      <c r="P106" s="1"/>
      <c r="Q106" s="10"/>
      <c r="R106" s="10"/>
      <c r="S106" s="1"/>
      <c r="T106" s="1"/>
      <c r="U106" s="1"/>
    </row>
    <row r="107" spans="1:40">
      <c r="Q107" s="10"/>
      <c r="R107" s="10"/>
      <c r="S107" s="3"/>
      <c r="T107" s="3"/>
      <c r="V107" s="3"/>
      <c r="W107" s="3"/>
      <c r="X107" s="3"/>
      <c r="Y107" s="3"/>
      <c r="AI107" s="31"/>
      <c r="AJ107" s="31"/>
      <c r="AK107" s="31"/>
      <c r="AL107" s="31"/>
      <c r="AM107" s="31"/>
      <c r="AN107" s="31"/>
    </row>
    <row r="108" spans="1:40">
      <c r="Q108" s="10"/>
      <c r="R108" s="10"/>
      <c r="S108" s="4"/>
      <c r="T108" s="4"/>
    </row>
    <row r="109" spans="1:40">
      <c r="Q109" s="10"/>
      <c r="R109" s="10"/>
      <c r="S109" s="4"/>
      <c r="T109" s="4"/>
    </row>
    <row r="110" spans="1:40">
      <c r="Q110" s="10"/>
      <c r="R110" s="10"/>
      <c r="S110" s="4"/>
      <c r="T110" s="4"/>
    </row>
    <row r="111" spans="1:40">
      <c r="A111" s="3"/>
      <c r="B111" s="5"/>
      <c r="C111" s="5"/>
      <c r="D111" s="5"/>
      <c r="E111" s="5"/>
      <c r="F111" s="5"/>
      <c r="G111" s="5"/>
      <c r="H111" s="6"/>
      <c r="I111" s="6"/>
      <c r="J111" s="6"/>
      <c r="K111" s="2"/>
      <c r="L111" s="2"/>
      <c r="M111" s="2"/>
      <c r="N111" s="2"/>
      <c r="O111" s="10"/>
      <c r="P111" s="10"/>
      <c r="Q111" s="10"/>
      <c r="R111" s="10"/>
      <c r="S111" s="10"/>
      <c r="T111" s="10"/>
      <c r="U111" s="2"/>
      <c r="V111" s="10"/>
      <c r="W111" s="10"/>
      <c r="X111" s="10"/>
      <c r="Y111" s="10"/>
    </row>
    <row r="117" spans="9:40"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 spans="9:40"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</row>
    <row r="119" spans="9:40"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 spans="9:40"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</row>
    <row r="121" spans="9:40"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 spans="9:40"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</row>
    <row r="123" spans="9:40"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 spans="9:40"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</row>
    <row r="125" spans="9:40"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 spans="9:40"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 spans="9:40"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 spans="9:40"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 spans="9:40"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 spans="9:40"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 spans="9:40"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 spans="9:40"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 spans="9:40"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 spans="9:40"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 spans="9:40"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 spans="9:40"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 spans="9:40"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 spans="9:40"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 spans="9:40"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 spans="9:40"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</row>
    <row r="141" spans="9:40"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 spans="9:40"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</row>
    <row r="143" spans="9:40"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 spans="9:40">
      <c r="AI144" s="35"/>
      <c r="AJ144" s="35"/>
      <c r="AK144" s="35"/>
      <c r="AL144" s="35"/>
      <c r="AM144" s="35"/>
      <c r="AN144" s="35"/>
    </row>
    <row r="145" spans="1:40">
      <c r="AI145" s="35"/>
      <c r="AJ145" s="35"/>
      <c r="AK145" s="35"/>
      <c r="AL145" s="35"/>
      <c r="AM145" s="35"/>
      <c r="AN145" s="35"/>
    </row>
    <row r="146" spans="1:40">
      <c r="AI146" s="35"/>
      <c r="AJ146" s="35"/>
      <c r="AK146" s="35"/>
      <c r="AL146" s="35"/>
      <c r="AM146" s="35"/>
      <c r="AN146" s="35"/>
    </row>
    <row r="147" spans="1:40">
      <c r="AI147" s="35"/>
      <c r="AJ147" s="35"/>
      <c r="AK147" s="35"/>
      <c r="AL147" s="35"/>
      <c r="AM147" s="35"/>
      <c r="AN147" s="35"/>
    </row>
    <row r="148" spans="1:40">
      <c r="AI148" s="35"/>
      <c r="AJ148" s="35"/>
      <c r="AK148" s="35"/>
      <c r="AL148" s="35"/>
      <c r="AM148" s="35"/>
      <c r="AN148" s="35"/>
    </row>
    <row r="151" spans="1:40"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 spans="1:40"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</row>
    <row r="153" spans="1:40"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 spans="1:40">
      <c r="A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</row>
    <row r="155" spans="1:40">
      <c r="A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 spans="1:40">
      <c r="A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</row>
    <row r="157" spans="1:40">
      <c r="A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 spans="1:40">
      <c r="A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</row>
    <row r="159" spans="1:40">
      <c r="A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 spans="1:40">
      <c r="A160" s="10"/>
      <c r="B160" s="32"/>
      <c r="C160" s="32"/>
      <c r="D160" s="32"/>
      <c r="E160" s="32"/>
      <c r="F160" s="32"/>
      <c r="G160" s="32"/>
      <c r="H160" s="32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</row>
    <row r="161" spans="1:40">
      <c r="A161" s="10"/>
      <c r="B161" s="32"/>
      <c r="C161" s="32"/>
      <c r="D161" s="32"/>
      <c r="E161" s="32"/>
      <c r="F161" s="32"/>
      <c r="G161" s="32"/>
      <c r="H161" s="32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 spans="1:40">
      <c r="A162" s="10"/>
      <c r="B162" s="32"/>
      <c r="C162" s="32"/>
      <c r="D162" s="32"/>
      <c r="E162" s="32"/>
      <c r="F162" s="32"/>
      <c r="G162" s="32"/>
      <c r="H162" s="32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</row>
    <row r="163" spans="1:40">
      <c r="A163" s="10"/>
      <c r="B163" s="32"/>
      <c r="C163" s="32"/>
      <c r="D163" s="32"/>
      <c r="E163" s="32"/>
      <c r="F163" s="32"/>
      <c r="G163" s="32"/>
      <c r="H163" s="32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 spans="1:40">
      <c r="A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</row>
    <row r="165" spans="1:40">
      <c r="A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 spans="1:40">
      <c r="A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</row>
    <row r="167" spans="1:40">
      <c r="A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>
      <c r="A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>
      <c r="A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spans="1:40">
      <c r="A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>
      <c r="A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spans="1:40">
      <c r="A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</row>
    <row r="173" spans="1:40">
      <c r="A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 spans="1:40">
      <c r="A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</row>
    <row r="175" spans="1:4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80" spans="1:4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</row>
    <row r="181" spans="1:4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</row>
    <row r="182" spans="1:4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</row>
    <row r="183" spans="1:4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</row>
    <row r="184" spans="1:4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</row>
    <row r="185" spans="1:4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40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  <c r="AA186" s="175"/>
      <c r="AB186" s="175"/>
      <c r="AC186" s="175"/>
      <c r="AD186" s="175"/>
      <c r="AE186" s="175"/>
      <c r="AF186" s="175"/>
      <c r="AG186" s="175"/>
      <c r="AH186" s="175"/>
      <c r="AI186" s="175"/>
      <c r="AJ186" s="175"/>
      <c r="AK186" s="175"/>
      <c r="AL186" s="175"/>
      <c r="AM186" s="175"/>
      <c r="AN186" s="175"/>
    </row>
    <row r="187" spans="1:40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  <c r="AA187" s="175"/>
      <c r="AB187" s="175"/>
      <c r="AC187" s="175"/>
      <c r="AD187" s="175"/>
      <c r="AE187" s="175"/>
      <c r="AF187" s="175"/>
      <c r="AG187" s="175"/>
      <c r="AH187" s="175"/>
      <c r="AI187" s="175"/>
      <c r="AJ187" s="175"/>
      <c r="AK187" s="175"/>
      <c r="AL187" s="175"/>
      <c r="AM187" s="175"/>
      <c r="AN187" s="175"/>
    </row>
    <row r="188" spans="1:40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  <c r="AA188" s="175"/>
      <c r="AB188" s="175"/>
      <c r="AC188" s="175"/>
      <c r="AD188" s="175"/>
      <c r="AE188" s="175"/>
      <c r="AF188" s="175"/>
      <c r="AG188" s="175"/>
      <c r="AH188" s="175"/>
      <c r="AI188" s="175"/>
      <c r="AJ188" s="175"/>
      <c r="AK188" s="175"/>
      <c r="AL188" s="175"/>
      <c r="AM188" s="175"/>
      <c r="AN188" s="175"/>
    </row>
    <row r="189" spans="1:40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  <c r="AA189" s="175"/>
      <c r="AB189" s="175"/>
      <c r="AC189" s="175"/>
      <c r="AD189" s="175"/>
      <c r="AE189" s="175"/>
      <c r="AF189" s="175"/>
      <c r="AG189" s="175"/>
      <c r="AH189" s="175"/>
      <c r="AI189" s="175"/>
      <c r="AJ189" s="175"/>
      <c r="AK189" s="175"/>
      <c r="AL189" s="175"/>
      <c r="AM189" s="175"/>
      <c r="AN189" s="175"/>
    </row>
    <row r="190" spans="1:40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  <c r="AA190" s="175"/>
      <c r="AB190" s="175"/>
      <c r="AC190" s="175"/>
      <c r="AD190" s="175"/>
      <c r="AE190" s="175"/>
      <c r="AF190" s="175"/>
      <c r="AG190" s="175"/>
      <c r="AH190" s="175"/>
      <c r="AI190" s="175"/>
      <c r="AJ190" s="175"/>
      <c r="AK190" s="175"/>
      <c r="AL190" s="175"/>
      <c r="AM190" s="175"/>
      <c r="AN190" s="175"/>
    </row>
    <row r="191" spans="1:40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  <c r="AA191" s="175"/>
      <c r="AB191" s="175"/>
      <c r="AC191" s="175"/>
      <c r="AD191" s="175"/>
      <c r="AE191" s="175"/>
      <c r="AF191" s="175"/>
      <c r="AG191" s="175"/>
      <c r="AH191" s="175"/>
      <c r="AI191" s="175"/>
      <c r="AJ191" s="175"/>
      <c r="AK191" s="175"/>
      <c r="AL191" s="175"/>
      <c r="AM191" s="175"/>
      <c r="AN191" s="175"/>
    </row>
    <row r="192" spans="1:40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  <c r="AA192" s="175"/>
      <c r="AB192" s="175"/>
      <c r="AC192" s="175"/>
      <c r="AD192" s="175"/>
      <c r="AE192" s="175"/>
      <c r="AF192" s="175"/>
      <c r="AG192" s="175"/>
      <c r="AH192" s="175"/>
      <c r="AI192" s="175"/>
      <c r="AJ192" s="175"/>
      <c r="AK192" s="175"/>
      <c r="AL192" s="175"/>
      <c r="AM192" s="175"/>
      <c r="AN192" s="175"/>
    </row>
    <row r="193" spans="1:40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  <c r="AA193" s="175"/>
      <c r="AB193" s="175"/>
      <c r="AC193" s="175"/>
      <c r="AD193" s="175"/>
      <c r="AE193" s="175"/>
      <c r="AF193" s="175"/>
      <c r="AG193" s="175"/>
      <c r="AH193" s="175"/>
      <c r="AI193" s="175"/>
      <c r="AJ193" s="175"/>
      <c r="AK193" s="175"/>
      <c r="AL193" s="175"/>
      <c r="AM193" s="175"/>
      <c r="AN193" s="175"/>
    </row>
    <row r="194" spans="1:40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  <c r="AA194" s="175"/>
      <c r="AB194" s="175"/>
      <c r="AC194" s="175"/>
      <c r="AD194" s="175"/>
      <c r="AE194" s="175"/>
      <c r="AF194" s="175"/>
      <c r="AG194" s="175"/>
      <c r="AH194" s="175"/>
      <c r="AI194" s="175"/>
      <c r="AJ194" s="175"/>
      <c r="AK194" s="175"/>
      <c r="AL194" s="175"/>
      <c r="AM194" s="175"/>
      <c r="AN194" s="175"/>
    </row>
    <row r="195" spans="1:40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  <c r="AA195" s="175"/>
      <c r="AB195" s="175"/>
      <c r="AC195" s="175"/>
      <c r="AD195" s="175"/>
      <c r="AE195" s="175"/>
      <c r="AF195" s="175"/>
      <c r="AG195" s="175"/>
      <c r="AH195" s="175"/>
      <c r="AI195" s="175"/>
      <c r="AJ195" s="175"/>
      <c r="AK195" s="175"/>
      <c r="AL195" s="175"/>
      <c r="AM195" s="175"/>
      <c r="AN195" s="175"/>
    </row>
    <row r="196" spans="1:40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  <c r="AA196" s="175"/>
      <c r="AB196" s="175"/>
      <c r="AC196" s="175"/>
      <c r="AD196" s="175"/>
      <c r="AE196" s="175"/>
      <c r="AF196" s="175"/>
      <c r="AG196" s="175"/>
      <c r="AH196" s="175"/>
      <c r="AI196" s="175"/>
      <c r="AJ196" s="175"/>
      <c r="AK196" s="175"/>
      <c r="AL196" s="175"/>
      <c r="AM196" s="175"/>
      <c r="AN196" s="175"/>
    </row>
    <row r="197" spans="1:40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  <c r="AA197" s="175"/>
      <c r="AB197" s="175"/>
      <c r="AC197" s="175"/>
      <c r="AD197" s="175"/>
      <c r="AE197" s="175"/>
      <c r="AF197" s="175"/>
      <c r="AG197" s="175"/>
      <c r="AH197" s="175"/>
      <c r="AI197" s="175"/>
      <c r="AJ197" s="175"/>
      <c r="AK197" s="175"/>
      <c r="AL197" s="175"/>
      <c r="AM197" s="175"/>
      <c r="AN197" s="175"/>
    </row>
    <row r="198" spans="1:40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  <c r="AA198" s="175"/>
      <c r="AB198" s="175"/>
      <c r="AC198" s="175"/>
      <c r="AD198" s="175"/>
      <c r="AE198" s="175"/>
      <c r="AF198" s="175"/>
      <c r="AG198" s="175"/>
      <c r="AH198" s="175"/>
      <c r="AI198" s="175"/>
      <c r="AJ198" s="175"/>
      <c r="AK198" s="175"/>
      <c r="AL198" s="175"/>
      <c r="AM198" s="175"/>
      <c r="AN198" s="175"/>
    </row>
    <row r="199" spans="1:40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  <c r="AA199" s="175"/>
      <c r="AB199" s="175"/>
      <c r="AC199" s="175"/>
      <c r="AD199" s="175"/>
      <c r="AE199" s="175"/>
      <c r="AF199" s="175"/>
      <c r="AG199" s="175"/>
      <c r="AH199" s="175"/>
      <c r="AI199" s="175"/>
      <c r="AJ199" s="175"/>
      <c r="AK199" s="175"/>
      <c r="AL199" s="175"/>
      <c r="AM199" s="175"/>
      <c r="AN199" s="175"/>
    </row>
    <row r="200" spans="1:40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  <c r="AA200" s="175"/>
      <c r="AB200" s="175"/>
      <c r="AC200" s="175"/>
      <c r="AD200" s="175"/>
      <c r="AE200" s="175"/>
      <c r="AF200" s="175"/>
      <c r="AG200" s="175"/>
      <c r="AH200" s="175"/>
      <c r="AI200" s="175"/>
      <c r="AJ200" s="175"/>
      <c r="AK200" s="175"/>
      <c r="AL200" s="175"/>
      <c r="AM200" s="175"/>
      <c r="AN200" s="175"/>
    </row>
    <row r="201" spans="1:40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  <c r="AA201" s="175"/>
      <c r="AB201" s="175"/>
      <c r="AC201" s="175"/>
      <c r="AD201" s="175"/>
      <c r="AE201" s="175"/>
      <c r="AF201" s="175"/>
      <c r="AG201" s="175"/>
      <c r="AH201" s="175"/>
      <c r="AI201" s="175"/>
      <c r="AJ201" s="175"/>
      <c r="AK201" s="175"/>
      <c r="AL201" s="175"/>
      <c r="AM201" s="175"/>
      <c r="AN201" s="175"/>
    </row>
    <row r="202" spans="1:40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  <c r="AA202" s="175"/>
      <c r="AB202" s="175"/>
      <c r="AC202" s="175"/>
      <c r="AD202" s="175"/>
      <c r="AE202" s="175"/>
      <c r="AF202" s="175"/>
      <c r="AG202" s="175"/>
      <c r="AH202" s="175"/>
      <c r="AI202" s="175"/>
      <c r="AJ202" s="175"/>
      <c r="AK202" s="175"/>
      <c r="AL202" s="175"/>
      <c r="AM202" s="175"/>
      <c r="AN202" s="175"/>
    </row>
    <row r="203" spans="1:40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  <c r="AA203" s="175"/>
      <c r="AB203" s="175"/>
      <c r="AC203" s="175"/>
      <c r="AD203" s="175"/>
      <c r="AE203" s="175"/>
      <c r="AF203" s="175"/>
      <c r="AG203" s="175"/>
      <c r="AH203" s="175"/>
      <c r="AI203" s="175"/>
      <c r="AJ203" s="175"/>
      <c r="AK203" s="175"/>
      <c r="AL203" s="175"/>
      <c r="AM203" s="175"/>
      <c r="AN203" s="175"/>
    </row>
    <row r="204" spans="1:40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  <c r="AA204" s="175"/>
      <c r="AB204" s="175"/>
      <c r="AC204" s="175"/>
      <c r="AD204" s="175"/>
      <c r="AE204" s="175"/>
      <c r="AF204" s="175"/>
      <c r="AG204" s="175"/>
      <c r="AH204" s="175"/>
      <c r="AI204" s="175"/>
      <c r="AJ204" s="175"/>
      <c r="AK204" s="175"/>
      <c r="AL204" s="175"/>
      <c r="AM204" s="175"/>
      <c r="AN204" s="175"/>
    </row>
    <row r="205" spans="1:40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  <c r="AA205" s="175"/>
      <c r="AB205" s="175"/>
      <c r="AC205" s="175"/>
      <c r="AD205" s="175"/>
      <c r="AE205" s="175"/>
      <c r="AF205" s="175"/>
      <c r="AG205" s="175"/>
      <c r="AH205" s="175"/>
      <c r="AI205" s="175"/>
      <c r="AJ205" s="175"/>
      <c r="AK205" s="175"/>
      <c r="AL205" s="175"/>
      <c r="AM205" s="175"/>
      <c r="AN205" s="175"/>
    </row>
    <row r="206" spans="1:40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  <c r="AA206" s="175"/>
      <c r="AB206" s="175"/>
      <c r="AC206" s="175"/>
      <c r="AD206" s="175"/>
      <c r="AE206" s="175"/>
      <c r="AF206" s="175"/>
      <c r="AG206" s="175"/>
      <c r="AH206" s="175"/>
      <c r="AI206" s="175"/>
      <c r="AJ206" s="175"/>
      <c r="AK206" s="175"/>
      <c r="AL206" s="175"/>
      <c r="AM206" s="175"/>
      <c r="AN206" s="175"/>
    </row>
    <row r="207" spans="1:40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  <c r="AA207" s="175"/>
      <c r="AB207" s="175"/>
      <c r="AC207" s="175"/>
      <c r="AD207" s="175"/>
      <c r="AE207" s="175"/>
      <c r="AF207" s="175"/>
      <c r="AG207" s="175"/>
      <c r="AH207" s="175"/>
      <c r="AI207" s="175"/>
      <c r="AJ207" s="175"/>
      <c r="AK207" s="175"/>
      <c r="AL207" s="175"/>
      <c r="AM207" s="175"/>
      <c r="AN207" s="175"/>
    </row>
    <row r="208" spans="1:40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  <c r="AA208" s="175"/>
      <c r="AB208" s="175"/>
      <c r="AC208" s="175"/>
      <c r="AD208" s="175"/>
      <c r="AE208" s="175"/>
      <c r="AF208" s="175"/>
      <c r="AG208" s="175"/>
      <c r="AH208" s="175"/>
      <c r="AI208" s="175"/>
      <c r="AJ208" s="175"/>
      <c r="AK208" s="175"/>
      <c r="AL208" s="175"/>
      <c r="AM208" s="175"/>
      <c r="AN208" s="175"/>
    </row>
    <row r="209" spans="1:40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  <c r="AA209" s="175"/>
      <c r="AB209" s="175"/>
      <c r="AC209" s="175"/>
      <c r="AD209" s="175"/>
      <c r="AE209" s="175"/>
      <c r="AF209" s="175"/>
      <c r="AG209" s="175"/>
      <c r="AH209" s="175"/>
      <c r="AI209" s="175"/>
      <c r="AJ209" s="175"/>
      <c r="AK209" s="175"/>
      <c r="AL209" s="175"/>
      <c r="AM209" s="175"/>
      <c r="AN209" s="175"/>
    </row>
    <row r="210" spans="1:40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  <c r="AA210" s="175"/>
      <c r="AB210" s="175"/>
      <c r="AC210" s="175"/>
      <c r="AD210" s="175"/>
      <c r="AE210" s="175"/>
      <c r="AF210" s="175"/>
      <c r="AG210" s="175"/>
      <c r="AH210" s="175"/>
      <c r="AI210" s="175"/>
      <c r="AJ210" s="175"/>
      <c r="AK210" s="175"/>
      <c r="AL210" s="175"/>
      <c r="AM210" s="175"/>
      <c r="AN210" s="175"/>
    </row>
    <row r="211" spans="1:40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  <c r="AA211" s="175"/>
      <c r="AB211" s="175"/>
      <c r="AC211" s="175"/>
      <c r="AD211" s="175"/>
      <c r="AE211" s="175"/>
      <c r="AF211" s="175"/>
      <c r="AG211" s="175"/>
      <c r="AH211" s="175"/>
      <c r="AI211" s="175"/>
      <c r="AJ211" s="175"/>
      <c r="AK211" s="175"/>
      <c r="AL211" s="175"/>
      <c r="AM211" s="175"/>
      <c r="AN211" s="175"/>
    </row>
    <row r="212" spans="1:40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  <c r="AA212" s="175"/>
      <c r="AB212" s="175"/>
      <c r="AC212" s="175"/>
      <c r="AD212" s="175"/>
      <c r="AE212" s="175"/>
      <c r="AF212" s="175"/>
      <c r="AG212" s="175"/>
      <c r="AH212" s="175"/>
      <c r="AI212" s="175"/>
      <c r="AJ212" s="175"/>
      <c r="AK212" s="175"/>
      <c r="AL212" s="175"/>
      <c r="AM212" s="175"/>
      <c r="AN212" s="175"/>
    </row>
    <row r="213" spans="1:40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  <c r="AA213" s="175"/>
      <c r="AB213" s="175"/>
      <c r="AC213" s="175"/>
      <c r="AD213" s="175"/>
      <c r="AE213" s="175"/>
      <c r="AF213" s="175"/>
      <c r="AG213" s="175"/>
      <c r="AH213" s="175"/>
      <c r="AI213" s="175"/>
      <c r="AJ213" s="175"/>
      <c r="AK213" s="175"/>
      <c r="AL213" s="175"/>
      <c r="AM213" s="175"/>
      <c r="AN213" s="175"/>
    </row>
    <row r="214" spans="1:40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  <c r="AA214" s="175"/>
      <c r="AB214" s="175"/>
      <c r="AC214" s="175"/>
      <c r="AD214" s="175"/>
      <c r="AE214" s="175"/>
      <c r="AF214" s="175"/>
      <c r="AG214" s="175"/>
      <c r="AH214" s="175"/>
      <c r="AI214" s="175"/>
      <c r="AJ214" s="175"/>
      <c r="AK214" s="175"/>
      <c r="AL214" s="175"/>
      <c r="AM214" s="175"/>
      <c r="AN214" s="175"/>
    </row>
    <row r="215" spans="1:40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  <c r="AA215" s="175"/>
      <c r="AB215" s="175"/>
      <c r="AC215" s="175"/>
      <c r="AD215" s="175"/>
      <c r="AE215" s="175"/>
      <c r="AF215" s="175"/>
      <c r="AG215" s="175"/>
      <c r="AH215" s="175"/>
      <c r="AI215" s="175"/>
      <c r="AJ215" s="175"/>
      <c r="AK215" s="175"/>
      <c r="AL215" s="175"/>
      <c r="AM215" s="175"/>
      <c r="AN215" s="175"/>
    </row>
    <row r="216" spans="1:40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  <c r="AA216" s="175"/>
      <c r="AB216" s="175"/>
      <c r="AC216" s="175"/>
      <c r="AD216" s="175"/>
      <c r="AE216" s="175"/>
      <c r="AF216" s="175"/>
      <c r="AG216" s="175"/>
      <c r="AH216" s="175"/>
      <c r="AI216" s="175"/>
      <c r="AJ216" s="175"/>
      <c r="AK216" s="175"/>
      <c r="AL216" s="175"/>
      <c r="AM216" s="175"/>
      <c r="AN216" s="175"/>
    </row>
    <row r="217" spans="1:40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  <c r="AA217" s="175"/>
      <c r="AB217" s="175"/>
      <c r="AC217" s="175"/>
      <c r="AD217" s="175"/>
      <c r="AE217" s="175"/>
      <c r="AF217" s="175"/>
      <c r="AG217" s="175"/>
      <c r="AH217" s="175"/>
      <c r="AI217" s="175"/>
      <c r="AJ217" s="175"/>
      <c r="AK217" s="175"/>
      <c r="AL217" s="175"/>
      <c r="AM217" s="175"/>
      <c r="AN217" s="175"/>
    </row>
    <row r="218" spans="1:40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  <c r="AA218" s="175"/>
      <c r="AB218" s="175"/>
      <c r="AC218" s="175"/>
      <c r="AD218" s="175"/>
      <c r="AE218" s="175"/>
      <c r="AF218" s="175"/>
      <c r="AG218" s="175"/>
      <c r="AH218" s="175"/>
      <c r="AI218" s="175"/>
      <c r="AJ218" s="175"/>
      <c r="AK218" s="175"/>
      <c r="AL218" s="175"/>
      <c r="AM218" s="175"/>
      <c r="AN218" s="175"/>
    </row>
    <row r="219" spans="1:40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  <c r="AA219" s="175"/>
      <c r="AB219" s="175"/>
      <c r="AC219" s="175"/>
      <c r="AD219" s="175"/>
      <c r="AE219" s="175"/>
      <c r="AF219" s="175"/>
      <c r="AG219" s="175"/>
      <c r="AH219" s="175"/>
      <c r="AI219" s="175"/>
      <c r="AJ219" s="175"/>
      <c r="AK219" s="175"/>
      <c r="AL219" s="175"/>
      <c r="AM219" s="175"/>
      <c r="AN219" s="175"/>
    </row>
    <row r="220" spans="1:40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  <c r="AA220" s="175"/>
      <c r="AB220" s="175"/>
      <c r="AC220" s="175"/>
      <c r="AD220" s="175"/>
      <c r="AE220" s="175"/>
      <c r="AF220" s="175"/>
      <c r="AG220" s="175"/>
      <c r="AH220" s="175"/>
      <c r="AI220" s="175"/>
      <c r="AJ220" s="175"/>
      <c r="AK220" s="175"/>
      <c r="AL220" s="175"/>
      <c r="AM220" s="175"/>
      <c r="AN220" s="175"/>
    </row>
    <row r="221" spans="1:40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  <c r="AA221" s="175"/>
      <c r="AB221" s="175"/>
      <c r="AC221" s="175"/>
      <c r="AD221" s="175"/>
      <c r="AE221" s="175"/>
      <c r="AF221" s="175"/>
      <c r="AG221" s="175"/>
      <c r="AH221" s="175"/>
      <c r="AI221" s="175"/>
      <c r="AJ221" s="175"/>
      <c r="AK221" s="175"/>
      <c r="AL221" s="175"/>
      <c r="AM221" s="175"/>
      <c r="AN221" s="175"/>
    </row>
    <row r="222" spans="1:40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  <c r="AA222" s="175"/>
      <c r="AB222" s="175"/>
      <c r="AC222" s="175"/>
      <c r="AD222" s="175"/>
      <c r="AE222" s="175"/>
      <c r="AF222" s="175"/>
      <c r="AG222" s="175"/>
      <c r="AH222" s="175"/>
      <c r="AI222" s="175"/>
      <c r="AJ222" s="175"/>
      <c r="AK222" s="175"/>
      <c r="AL222" s="175"/>
      <c r="AM222" s="175"/>
      <c r="AN222" s="175"/>
    </row>
    <row r="223" spans="1:40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  <c r="AA223" s="175"/>
      <c r="AB223" s="175"/>
      <c r="AC223" s="175"/>
      <c r="AD223" s="175"/>
      <c r="AE223" s="175"/>
      <c r="AF223" s="175"/>
      <c r="AG223" s="175"/>
      <c r="AH223" s="175"/>
      <c r="AI223" s="175"/>
      <c r="AJ223" s="175"/>
      <c r="AK223" s="175"/>
      <c r="AL223" s="175"/>
      <c r="AM223" s="175"/>
      <c r="AN223" s="175"/>
    </row>
    <row r="224" spans="1:40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  <c r="AA224" s="175"/>
      <c r="AB224" s="175"/>
      <c r="AC224" s="175"/>
      <c r="AD224" s="175"/>
      <c r="AE224" s="175"/>
      <c r="AF224" s="175"/>
      <c r="AG224" s="175"/>
      <c r="AH224" s="175"/>
      <c r="AI224" s="175"/>
      <c r="AJ224" s="175"/>
      <c r="AK224" s="175"/>
      <c r="AL224" s="175"/>
      <c r="AM224" s="175"/>
      <c r="AN224" s="175"/>
    </row>
    <row r="225" spans="1:40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  <c r="AA225" s="175"/>
      <c r="AB225" s="175"/>
      <c r="AC225" s="175"/>
      <c r="AD225" s="175"/>
      <c r="AE225" s="175"/>
      <c r="AF225" s="175"/>
      <c r="AG225" s="175"/>
      <c r="AH225" s="175"/>
      <c r="AI225" s="175"/>
      <c r="AJ225" s="175"/>
      <c r="AK225" s="175"/>
      <c r="AL225" s="175"/>
      <c r="AM225" s="175"/>
      <c r="AN225" s="175"/>
    </row>
    <row r="226" spans="1:40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  <c r="AA226" s="175"/>
      <c r="AB226" s="175"/>
      <c r="AC226" s="175"/>
      <c r="AD226" s="175"/>
      <c r="AE226" s="175"/>
      <c r="AF226" s="175"/>
      <c r="AG226" s="175"/>
      <c r="AH226" s="175"/>
      <c r="AI226" s="175"/>
      <c r="AJ226" s="175"/>
      <c r="AK226" s="175"/>
      <c r="AL226" s="175"/>
      <c r="AM226" s="175"/>
      <c r="AN226" s="175"/>
    </row>
    <row r="227" spans="1:40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  <c r="AA227" s="175"/>
      <c r="AB227" s="175"/>
      <c r="AC227" s="175"/>
      <c r="AD227" s="175"/>
      <c r="AE227" s="175"/>
      <c r="AF227" s="175"/>
      <c r="AG227" s="175"/>
      <c r="AH227" s="175"/>
      <c r="AI227" s="175"/>
      <c r="AJ227" s="175"/>
      <c r="AK227" s="175"/>
      <c r="AL227" s="175"/>
      <c r="AM227" s="175"/>
      <c r="AN227" s="175"/>
    </row>
    <row r="228" spans="1:40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  <c r="AA228" s="175"/>
      <c r="AB228" s="175"/>
      <c r="AC228" s="175"/>
      <c r="AD228" s="175"/>
      <c r="AE228" s="175"/>
      <c r="AF228" s="175"/>
      <c r="AG228" s="175"/>
      <c r="AH228" s="175"/>
      <c r="AI228" s="175"/>
      <c r="AJ228" s="175"/>
      <c r="AK228" s="175"/>
      <c r="AL228" s="175"/>
      <c r="AM228" s="175"/>
      <c r="AN228" s="175"/>
    </row>
    <row r="229" spans="1:40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  <c r="AA229" s="175"/>
      <c r="AB229" s="175"/>
      <c r="AC229" s="175"/>
      <c r="AD229" s="175"/>
      <c r="AE229" s="175"/>
      <c r="AF229" s="175"/>
      <c r="AG229" s="175"/>
      <c r="AH229" s="175"/>
      <c r="AI229" s="175"/>
      <c r="AJ229" s="175"/>
      <c r="AK229" s="175"/>
      <c r="AL229" s="175"/>
      <c r="AM229" s="175"/>
      <c r="AN229" s="175"/>
    </row>
    <row r="230" spans="1:40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  <c r="AA230" s="175"/>
      <c r="AB230" s="175"/>
      <c r="AC230" s="175"/>
      <c r="AD230" s="175"/>
      <c r="AE230" s="175"/>
      <c r="AF230" s="175"/>
      <c r="AG230" s="175"/>
      <c r="AH230" s="175"/>
      <c r="AI230" s="175"/>
      <c r="AJ230" s="175"/>
      <c r="AK230" s="175"/>
      <c r="AL230" s="175"/>
      <c r="AM230" s="175"/>
      <c r="AN230" s="175"/>
    </row>
    <row r="231" spans="1:40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  <c r="AA231" s="175"/>
      <c r="AB231" s="175"/>
      <c r="AC231" s="175"/>
      <c r="AD231" s="175"/>
      <c r="AE231" s="175"/>
      <c r="AF231" s="175"/>
      <c r="AG231" s="175"/>
      <c r="AH231" s="175"/>
      <c r="AI231" s="175"/>
      <c r="AJ231" s="175"/>
      <c r="AK231" s="175"/>
      <c r="AL231" s="175"/>
      <c r="AM231" s="175"/>
      <c r="AN231" s="175"/>
    </row>
    <row r="232" spans="1:40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  <c r="AA232" s="175"/>
      <c r="AB232" s="175"/>
      <c r="AC232" s="175"/>
      <c r="AD232" s="175"/>
      <c r="AE232" s="175"/>
      <c r="AF232" s="175"/>
      <c r="AG232" s="175"/>
      <c r="AH232" s="175"/>
      <c r="AI232" s="175"/>
      <c r="AJ232" s="175"/>
      <c r="AK232" s="175"/>
      <c r="AL232" s="175"/>
      <c r="AM232" s="175"/>
      <c r="AN232" s="175"/>
    </row>
    <row r="233" spans="1:40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  <c r="AA233" s="175"/>
      <c r="AB233" s="175"/>
      <c r="AC233" s="175"/>
      <c r="AD233" s="175"/>
      <c r="AE233" s="175"/>
      <c r="AF233" s="175"/>
      <c r="AG233" s="175"/>
      <c r="AH233" s="175"/>
      <c r="AI233" s="175"/>
      <c r="AJ233" s="175"/>
      <c r="AK233" s="175"/>
      <c r="AL233" s="175"/>
      <c r="AM233" s="175"/>
      <c r="AN233" s="175"/>
    </row>
    <row r="234" spans="1:40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  <c r="AA234" s="175"/>
      <c r="AB234" s="175"/>
      <c r="AC234" s="175"/>
      <c r="AD234" s="175"/>
      <c r="AE234" s="175"/>
      <c r="AF234" s="175"/>
      <c r="AG234" s="175"/>
      <c r="AH234" s="175"/>
      <c r="AI234" s="175"/>
      <c r="AJ234" s="175"/>
      <c r="AK234" s="175"/>
      <c r="AL234" s="175"/>
      <c r="AM234" s="175"/>
      <c r="AN234" s="175"/>
    </row>
    <row r="235" spans="1:40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  <c r="AA235" s="175"/>
      <c r="AB235" s="175"/>
      <c r="AC235" s="175"/>
      <c r="AD235" s="175"/>
      <c r="AE235" s="175"/>
      <c r="AF235" s="175"/>
      <c r="AG235" s="175"/>
      <c r="AH235" s="175"/>
      <c r="AI235" s="175"/>
      <c r="AJ235" s="175"/>
      <c r="AK235" s="175"/>
      <c r="AL235" s="175"/>
      <c r="AM235" s="175"/>
      <c r="AN235" s="175"/>
    </row>
    <row r="236" spans="1:40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  <c r="AA236" s="175"/>
      <c r="AB236" s="175"/>
      <c r="AC236" s="175"/>
      <c r="AD236" s="175"/>
      <c r="AE236" s="175"/>
      <c r="AF236" s="175"/>
      <c r="AG236" s="175"/>
      <c r="AH236" s="175"/>
      <c r="AI236" s="175"/>
      <c r="AJ236" s="175"/>
      <c r="AK236" s="175"/>
      <c r="AL236" s="175"/>
      <c r="AM236" s="175"/>
      <c r="AN236" s="175"/>
    </row>
    <row r="237" spans="1:40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  <c r="AA237" s="175"/>
      <c r="AB237" s="175"/>
      <c r="AC237" s="175"/>
      <c r="AD237" s="175"/>
      <c r="AE237" s="175"/>
      <c r="AF237" s="175"/>
      <c r="AG237" s="175"/>
      <c r="AH237" s="175"/>
      <c r="AI237" s="175"/>
      <c r="AJ237" s="175"/>
      <c r="AK237" s="175"/>
      <c r="AL237" s="175"/>
      <c r="AM237" s="175"/>
      <c r="AN237" s="175"/>
    </row>
    <row r="238" spans="1:40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  <c r="AA238" s="175"/>
      <c r="AB238" s="175"/>
      <c r="AC238" s="175"/>
      <c r="AD238" s="175"/>
      <c r="AE238" s="175"/>
      <c r="AF238" s="175"/>
      <c r="AG238" s="175"/>
      <c r="AH238" s="175"/>
      <c r="AI238" s="175"/>
      <c r="AJ238" s="175"/>
      <c r="AK238" s="175"/>
      <c r="AL238" s="175"/>
      <c r="AM238" s="175"/>
      <c r="AN238" s="175"/>
    </row>
    <row r="239" spans="1:40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  <c r="AA239" s="175"/>
      <c r="AB239" s="175"/>
      <c r="AC239" s="175"/>
      <c r="AD239" s="175"/>
      <c r="AE239" s="175"/>
      <c r="AF239" s="175"/>
      <c r="AG239" s="175"/>
      <c r="AH239" s="175"/>
      <c r="AI239" s="175"/>
      <c r="AJ239" s="175"/>
      <c r="AK239" s="175"/>
      <c r="AL239" s="175"/>
      <c r="AM239" s="175"/>
      <c r="AN239" s="175"/>
    </row>
    <row r="240" spans="1:40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  <c r="AA240" s="175"/>
      <c r="AB240" s="175"/>
      <c r="AC240" s="175"/>
      <c r="AD240" s="175"/>
      <c r="AE240" s="175"/>
      <c r="AF240" s="175"/>
      <c r="AG240" s="175"/>
      <c r="AH240" s="175"/>
      <c r="AI240" s="175"/>
      <c r="AJ240" s="175"/>
      <c r="AK240" s="175"/>
      <c r="AL240" s="175"/>
      <c r="AM240" s="175"/>
      <c r="AN240" s="175"/>
    </row>
    <row r="241" spans="1:40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  <c r="AA241" s="175"/>
      <c r="AB241" s="175"/>
      <c r="AC241" s="175"/>
      <c r="AD241" s="175"/>
      <c r="AE241" s="175"/>
      <c r="AF241" s="175"/>
      <c r="AG241" s="175"/>
      <c r="AH241" s="175"/>
      <c r="AI241" s="175"/>
      <c r="AJ241" s="175"/>
      <c r="AK241" s="175"/>
      <c r="AL241" s="175"/>
      <c r="AM241" s="175"/>
      <c r="AN241" s="175"/>
    </row>
    <row r="242" spans="1:40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  <c r="AA242" s="175"/>
      <c r="AB242" s="175"/>
      <c r="AC242" s="175"/>
      <c r="AD242" s="175"/>
      <c r="AE242" s="175"/>
      <c r="AF242" s="175"/>
      <c r="AG242" s="175"/>
      <c r="AH242" s="175"/>
      <c r="AI242" s="175"/>
      <c r="AJ242" s="175"/>
      <c r="AK242" s="175"/>
      <c r="AL242" s="175"/>
      <c r="AM242" s="175"/>
      <c r="AN242" s="175"/>
    </row>
    <row r="243" spans="1:40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  <c r="AA243" s="175"/>
      <c r="AB243" s="175"/>
      <c r="AC243" s="175"/>
      <c r="AD243" s="175"/>
      <c r="AE243" s="175"/>
      <c r="AF243" s="175"/>
      <c r="AG243" s="175"/>
      <c r="AH243" s="175"/>
      <c r="AI243" s="175"/>
      <c r="AJ243" s="175"/>
      <c r="AK243" s="175"/>
      <c r="AL243" s="175"/>
      <c r="AM243" s="175"/>
      <c r="AN243" s="175"/>
    </row>
    <row r="244" spans="1:40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  <c r="AA244" s="175"/>
      <c r="AB244" s="175"/>
      <c r="AC244" s="175"/>
      <c r="AD244" s="175"/>
      <c r="AE244" s="175"/>
      <c r="AF244" s="175"/>
      <c r="AG244" s="175"/>
      <c r="AH244" s="175"/>
      <c r="AI244" s="175"/>
      <c r="AJ244" s="175"/>
      <c r="AK244" s="175"/>
      <c r="AL244" s="175"/>
      <c r="AM244" s="175"/>
      <c r="AN244" s="175"/>
    </row>
    <row r="245" spans="1:40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  <c r="AA245" s="175"/>
      <c r="AB245" s="175"/>
      <c r="AC245" s="175"/>
      <c r="AD245" s="175"/>
      <c r="AE245" s="175"/>
      <c r="AF245" s="175"/>
      <c r="AG245" s="175"/>
      <c r="AH245" s="175"/>
      <c r="AI245" s="175"/>
      <c r="AJ245" s="175"/>
      <c r="AK245" s="175"/>
      <c r="AL245" s="175"/>
      <c r="AM245" s="175"/>
      <c r="AN245" s="175"/>
    </row>
    <row r="246" spans="1:40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  <c r="AA246" s="175"/>
      <c r="AB246" s="175"/>
      <c r="AC246" s="175"/>
      <c r="AD246" s="175"/>
      <c r="AE246" s="175"/>
      <c r="AF246" s="175"/>
      <c r="AG246" s="175"/>
      <c r="AH246" s="175"/>
      <c r="AI246" s="175"/>
      <c r="AJ246" s="175"/>
      <c r="AK246" s="175"/>
      <c r="AL246" s="175"/>
      <c r="AM246" s="175"/>
      <c r="AN246" s="175"/>
    </row>
    <row r="247" spans="1:4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4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51" spans="1:40">
      <c r="Z251" s="3"/>
      <c r="AF251" s="3"/>
    </row>
    <row r="252" spans="1:40">
      <c r="Z252" s="3"/>
      <c r="AF252" s="3"/>
    </row>
    <row r="255" spans="1:40"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 spans="1:40"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 spans="26:40"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 spans="26:40"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 spans="26:40"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 spans="26:40"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 spans="26:40"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 spans="26:40"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7" spans="26:40">
      <c r="Z267" s="3"/>
      <c r="AF267" s="3"/>
    </row>
    <row r="269" spans="26:40">
      <c r="Z269" s="2"/>
      <c r="AA269" s="2"/>
      <c r="AB269" s="2"/>
      <c r="AF269" s="2"/>
    </row>
    <row r="271" spans="26:40">
      <c r="Z271" s="3"/>
      <c r="AA271" s="3"/>
      <c r="AB271" s="3"/>
      <c r="AC271" s="3"/>
      <c r="AD271" s="3"/>
      <c r="AE271" s="3"/>
      <c r="AF271" s="3"/>
      <c r="AG271" s="3"/>
      <c r="AH271" s="3"/>
    </row>
    <row r="276" spans="26:40">
      <c r="Z276" s="3"/>
      <c r="AA276" s="3"/>
      <c r="AB276" s="3"/>
      <c r="AC276" s="7"/>
      <c r="AD276" s="7"/>
      <c r="AE276" s="7"/>
      <c r="AF276" s="3"/>
      <c r="AG276" s="7"/>
      <c r="AH276" s="7"/>
    </row>
    <row r="277" spans="26:40">
      <c r="AC277" s="4"/>
      <c r="AD277" s="4"/>
      <c r="AE277" s="4"/>
      <c r="AG277" s="4"/>
      <c r="AH277" s="4"/>
    </row>
    <row r="278" spans="26:40">
      <c r="AC278" s="4"/>
      <c r="AD278" s="4"/>
      <c r="AE278" s="4"/>
      <c r="AG278" s="4"/>
      <c r="AH278" s="4"/>
    </row>
    <row r="281" spans="26:40">
      <c r="Z281" s="3"/>
      <c r="AA281" s="3"/>
      <c r="AB281" s="3"/>
      <c r="AC281" s="7"/>
      <c r="AD281" s="7"/>
      <c r="AE281" s="7"/>
      <c r="AF281" s="3"/>
      <c r="AG281" s="7"/>
      <c r="AH281" s="7"/>
    </row>
    <row r="282" spans="26:40">
      <c r="AC282" s="4"/>
      <c r="AD282" s="4"/>
      <c r="AE282" s="4"/>
      <c r="AG282" s="4"/>
      <c r="AH282" s="4"/>
    </row>
    <row r="283" spans="26:40">
      <c r="AC283" s="4"/>
      <c r="AD283" s="4"/>
      <c r="AE283" s="4"/>
      <c r="AG283" s="4"/>
      <c r="AH283" s="4"/>
    </row>
    <row r="284" spans="26:40">
      <c r="AC284" s="4"/>
      <c r="AD284" s="4"/>
      <c r="AE284" s="4"/>
      <c r="AG284" s="4"/>
      <c r="AH284" s="4"/>
    </row>
    <row r="286" spans="26:40">
      <c r="Z286" s="175"/>
      <c r="AA286" s="175"/>
      <c r="AB286" s="175"/>
      <c r="AC286" s="175"/>
      <c r="AD286" s="175"/>
      <c r="AE286" s="175"/>
      <c r="AF286" s="175"/>
      <c r="AG286" s="175"/>
      <c r="AH286" s="175"/>
      <c r="AI286" s="175"/>
      <c r="AJ286" s="175"/>
      <c r="AK286" s="175"/>
      <c r="AL286" s="175"/>
      <c r="AM286" s="175"/>
      <c r="AN286" s="175"/>
    </row>
    <row r="287" spans="26:40">
      <c r="Z287" s="175"/>
      <c r="AA287" s="175"/>
      <c r="AB287" s="175"/>
      <c r="AC287" s="175"/>
      <c r="AD287" s="175"/>
      <c r="AE287" s="175"/>
      <c r="AF287" s="175"/>
      <c r="AG287" s="175"/>
      <c r="AH287" s="175"/>
      <c r="AI287" s="175"/>
      <c r="AJ287" s="175"/>
      <c r="AK287" s="175"/>
      <c r="AL287" s="175"/>
      <c r="AM287" s="175"/>
      <c r="AN287" s="175"/>
    </row>
    <row r="288" spans="26:40">
      <c r="Z288" s="175"/>
      <c r="AA288" s="175"/>
      <c r="AB288" s="175"/>
      <c r="AC288" s="175"/>
      <c r="AD288" s="175"/>
      <c r="AE288" s="175"/>
      <c r="AF288" s="175"/>
      <c r="AG288" s="175"/>
      <c r="AH288" s="175"/>
      <c r="AI288" s="175"/>
      <c r="AJ288" s="175"/>
      <c r="AK288" s="175"/>
      <c r="AL288" s="175"/>
      <c r="AM288" s="175"/>
      <c r="AN288" s="175"/>
    </row>
    <row r="289" spans="1:34">
      <c r="Z289" s="8"/>
      <c r="AA289" s="8"/>
      <c r="AB289" s="8"/>
      <c r="AF289" s="8"/>
    </row>
    <row r="296" spans="1:34">
      <c r="Z296" s="3"/>
      <c r="AA296" s="3"/>
      <c r="AB296" s="3"/>
      <c r="AC296" s="7"/>
      <c r="AD296" s="7"/>
      <c r="AE296" s="7"/>
      <c r="AF296" s="3"/>
      <c r="AG296" s="7"/>
      <c r="AH296" s="7"/>
    </row>
    <row r="297" spans="1:34">
      <c r="AB297" s="4"/>
      <c r="AC297" s="4"/>
      <c r="AD297" s="4"/>
      <c r="AE297" s="4"/>
      <c r="AG297" s="4"/>
      <c r="AH297" s="4"/>
    </row>
    <row r="298" spans="1:34">
      <c r="AB298" s="4"/>
      <c r="AC298" s="4"/>
      <c r="AD298" s="4"/>
      <c r="AE298" s="4"/>
      <c r="AG298" s="4"/>
      <c r="AH298" s="4"/>
    </row>
    <row r="299" spans="1:34">
      <c r="AB299" s="4"/>
      <c r="AC299" s="4"/>
      <c r="AD299" s="4"/>
      <c r="AE299" s="4"/>
      <c r="AG299" s="4"/>
      <c r="AH299" s="4"/>
    </row>
    <row r="301" spans="1:34">
      <c r="A301" s="175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"/>
      <c r="O301" s="1"/>
      <c r="P301" s="1"/>
      <c r="Q301" s="10"/>
      <c r="R301" s="10"/>
      <c r="S301" s="1"/>
      <c r="T301" s="1"/>
      <c r="U301" s="175"/>
    </row>
    <row r="302" spans="1:34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3"/>
      <c r="O302" s="3"/>
      <c r="P302" s="3"/>
      <c r="Q302" s="3"/>
      <c r="R302" s="3"/>
      <c r="S302" s="3"/>
      <c r="T302" s="3"/>
      <c r="U302" s="175"/>
      <c r="V302" s="3"/>
      <c r="W302" s="3"/>
      <c r="X302" s="3"/>
      <c r="Y302" s="3"/>
      <c r="Z302" s="3"/>
      <c r="AA302" s="3"/>
      <c r="AB302" s="3"/>
      <c r="AC302" s="7"/>
      <c r="AD302" s="7"/>
      <c r="AE302" s="7"/>
      <c r="AF302" s="3"/>
      <c r="AG302" s="7"/>
      <c r="AH302" s="7"/>
    </row>
    <row r="303" spans="1:34">
      <c r="A303" s="175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4"/>
      <c r="O303" s="4"/>
      <c r="P303" s="1"/>
      <c r="Q303" s="1"/>
      <c r="R303" s="1"/>
      <c r="S303" s="1"/>
      <c r="T303" s="1"/>
      <c r="U303" s="175"/>
      <c r="AC303" s="4"/>
      <c r="AD303" s="4"/>
      <c r="AE303" s="4"/>
      <c r="AG303" s="4"/>
      <c r="AH303" s="4"/>
    </row>
    <row r="304" spans="1:34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4"/>
      <c r="O304" s="4"/>
      <c r="P304" s="1"/>
      <c r="Q304" s="1"/>
      <c r="R304" s="1"/>
      <c r="S304" s="1"/>
      <c r="T304" s="1"/>
      <c r="U304" s="175"/>
      <c r="AC304" s="4"/>
      <c r="AD304" s="4"/>
      <c r="AE304" s="4"/>
      <c r="AG304" s="4"/>
      <c r="AH304" s="4"/>
    </row>
    <row r="305" spans="1:36">
      <c r="A305" s="175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4"/>
      <c r="O305" s="4"/>
      <c r="P305" s="1"/>
      <c r="Q305" s="1"/>
      <c r="R305" s="1"/>
      <c r="S305" s="1"/>
      <c r="T305" s="1"/>
      <c r="U305" s="175"/>
      <c r="AC305" s="4"/>
      <c r="AD305" s="4"/>
      <c r="AE305" s="4"/>
      <c r="AG305" s="4"/>
      <c r="AH305" s="4"/>
    </row>
    <row r="306" spans="1:36">
      <c r="A306" s="3"/>
      <c r="B306" s="5"/>
      <c r="C306" s="5"/>
      <c r="D306" s="5"/>
      <c r="E306" s="5"/>
      <c r="F306" s="5"/>
      <c r="G306" s="5"/>
      <c r="H306" s="6"/>
      <c r="I306" s="6"/>
      <c r="J306" s="6"/>
      <c r="K306" s="2"/>
      <c r="L306" s="2"/>
      <c r="M306" s="2"/>
      <c r="N306" s="2"/>
      <c r="O306" s="10"/>
      <c r="P306" s="10"/>
      <c r="Q306" s="10"/>
      <c r="R306" s="10"/>
      <c r="S306" s="10"/>
      <c r="T306" s="10"/>
      <c r="U306" s="2"/>
      <c r="V306" s="10"/>
      <c r="W306" s="10"/>
      <c r="X306" s="10"/>
      <c r="Y306" s="10"/>
    </row>
    <row r="307" spans="1:36">
      <c r="A307" s="3"/>
      <c r="B307" s="5"/>
      <c r="C307" s="5"/>
      <c r="D307" s="5"/>
      <c r="E307" s="5"/>
      <c r="F307" s="5"/>
      <c r="G307" s="5"/>
      <c r="H307" s="6"/>
      <c r="I307" s="6"/>
      <c r="J307" s="6"/>
      <c r="K307" s="2"/>
      <c r="L307" s="2"/>
      <c r="M307" s="2"/>
      <c r="N307" s="2"/>
      <c r="O307" s="10"/>
      <c r="P307" s="10"/>
      <c r="Q307" s="10"/>
      <c r="R307" s="10"/>
      <c r="S307" s="10"/>
      <c r="T307" s="10"/>
      <c r="U307" s="2"/>
      <c r="V307" s="10"/>
      <c r="W307" s="10"/>
      <c r="X307" s="10"/>
      <c r="Y307" s="10"/>
    </row>
    <row r="308" spans="1:36">
      <c r="K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  <c r="AA308" s="175"/>
      <c r="AB308" s="175"/>
      <c r="AC308" s="175"/>
      <c r="AD308" s="175"/>
      <c r="AE308" s="175"/>
      <c r="AF308" s="175"/>
      <c r="AG308" s="175"/>
      <c r="AH308" s="175"/>
      <c r="AI308" s="175"/>
    </row>
    <row r="309" spans="1:36">
      <c r="K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  <c r="AA309" s="175"/>
      <c r="AB309" s="175"/>
      <c r="AC309" s="175"/>
      <c r="AD309" s="175"/>
      <c r="AE309" s="175"/>
      <c r="AF309" s="175"/>
      <c r="AG309" s="175"/>
      <c r="AH309" s="175"/>
      <c r="AI309" s="175"/>
    </row>
    <row r="310" spans="1:36">
      <c r="K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  <c r="AA310" s="175"/>
      <c r="AB310" s="175"/>
      <c r="AC310" s="175"/>
      <c r="AD310" s="175"/>
      <c r="AE310" s="175"/>
      <c r="AF310" s="175"/>
      <c r="AG310" s="175"/>
      <c r="AH310" s="175"/>
      <c r="AI310" s="175"/>
    </row>
    <row r="311" spans="1:36">
      <c r="K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  <c r="AA311" s="175"/>
      <c r="AB311" s="175"/>
      <c r="AC311" s="175"/>
      <c r="AD311" s="175"/>
      <c r="AE311" s="175"/>
      <c r="AF311" s="175"/>
      <c r="AG311" s="175"/>
      <c r="AH311" s="175"/>
      <c r="AI311" s="175"/>
    </row>
    <row r="312" spans="1:36">
      <c r="K312" s="1"/>
      <c r="N312" s="1"/>
      <c r="O312" s="1"/>
      <c r="P312" s="1"/>
      <c r="Q312" s="1"/>
      <c r="R312" s="1"/>
      <c r="S312" s="1"/>
      <c r="T312" s="1"/>
      <c r="U312" s="1"/>
    </row>
    <row r="313" spans="1:36">
      <c r="AB313" s="3"/>
      <c r="AC313" s="3"/>
      <c r="AD313" s="3"/>
      <c r="AE313" s="3"/>
      <c r="AG313" s="3"/>
      <c r="AH313" s="3"/>
    </row>
    <row r="315" spans="1:36">
      <c r="K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F315" s="2"/>
    </row>
    <row r="316" spans="1:36">
      <c r="Q316" s="3"/>
      <c r="R316" s="3"/>
      <c r="S316" s="3"/>
      <c r="T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spans="1:36">
      <c r="Q317" s="1"/>
      <c r="R317" s="1"/>
      <c r="S317" s="1"/>
      <c r="T317" s="1"/>
      <c r="X317" s="3"/>
    </row>
    <row r="318" spans="1:36">
      <c r="K318" s="2"/>
      <c r="N318" s="2"/>
      <c r="O318" s="10"/>
      <c r="P318" s="10"/>
      <c r="Q318" s="10"/>
      <c r="R318" s="10"/>
      <c r="S318" s="10"/>
      <c r="T318" s="10"/>
      <c r="U318" s="2"/>
      <c r="V318" s="10"/>
      <c r="W318" s="10"/>
      <c r="Y318" s="10"/>
    </row>
    <row r="320" spans="1:36">
      <c r="A320" s="175"/>
      <c r="B320" s="175"/>
      <c r="C320" s="175"/>
      <c r="D320" s="175"/>
      <c r="E320" s="17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  <c r="AA320" s="175"/>
      <c r="AB320" s="175"/>
      <c r="AC320" s="175"/>
      <c r="AD320" s="175"/>
      <c r="AE320" s="175"/>
      <c r="AF320" s="175"/>
      <c r="AG320" s="175"/>
      <c r="AH320" s="175"/>
      <c r="AI320" s="175"/>
      <c r="AJ320" s="175"/>
    </row>
    <row r="321" spans="1:36">
      <c r="A321" s="175"/>
      <c r="B321" s="175"/>
      <c r="C321" s="175"/>
      <c r="D321" s="175"/>
      <c r="E321" s="17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  <c r="AA321" s="175"/>
      <c r="AB321" s="175"/>
      <c r="AC321" s="175"/>
      <c r="AD321" s="175"/>
      <c r="AE321" s="175"/>
      <c r="AF321" s="175"/>
      <c r="AG321" s="175"/>
      <c r="AH321" s="175"/>
      <c r="AI321" s="175"/>
      <c r="AJ321" s="175"/>
    </row>
    <row r="322" spans="1:36">
      <c r="A322" s="175"/>
      <c r="B322" s="175"/>
      <c r="C322" s="175"/>
      <c r="D322" s="175"/>
      <c r="E322" s="17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  <c r="AA322" s="175"/>
      <c r="AB322" s="175"/>
      <c r="AC322" s="175"/>
      <c r="AD322" s="175"/>
      <c r="AE322" s="175"/>
      <c r="AF322" s="175"/>
      <c r="AG322" s="175"/>
      <c r="AH322" s="175"/>
      <c r="AI322" s="175"/>
      <c r="AJ322" s="175"/>
    </row>
    <row r="323" spans="1:36">
      <c r="A323" s="175"/>
      <c r="B323" s="175"/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  <c r="AA323" s="175"/>
      <c r="AB323" s="175"/>
      <c r="AC323" s="175"/>
      <c r="AD323" s="175"/>
      <c r="AE323" s="175"/>
      <c r="AF323" s="175"/>
      <c r="AG323" s="175"/>
      <c r="AH323" s="175"/>
      <c r="AI323" s="175"/>
      <c r="AJ323" s="175"/>
    </row>
    <row r="324" spans="1:36">
      <c r="A324" s="175"/>
      <c r="B324" s="175"/>
      <c r="C324" s="175"/>
      <c r="D324" s="175"/>
      <c r="E324" s="17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  <c r="AA324" s="175"/>
      <c r="AB324" s="175"/>
      <c r="AC324" s="175"/>
      <c r="AD324" s="175"/>
      <c r="AE324" s="175"/>
      <c r="AF324" s="175"/>
      <c r="AG324" s="175"/>
      <c r="AH324" s="175"/>
      <c r="AI324" s="175"/>
      <c r="AJ324" s="175"/>
    </row>
    <row r="325" spans="1:36">
      <c r="A325" s="175"/>
      <c r="B325" s="175"/>
      <c r="C325" s="175"/>
      <c r="D325" s="175"/>
      <c r="E325" s="17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  <c r="AA325" s="175"/>
      <c r="AB325" s="175"/>
      <c r="AC325" s="175"/>
      <c r="AD325" s="175"/>
      <c r="AE325" s="175"/>
      <c r="AF325" s="175"/>
      <c r="AG325" s="175"/>
      <c r="AH325" s="175"/>
      <c r="AI325" s="175"/>
      <c r="AJ325" s="175"/>
    </row>
    <row r="326" spans="1:36">
      <c r="A326" s="175"/>
      <c r="B326" s="175"/>
      <c r="C326" s="175"/>
      <c r="D326" s="175"/>
      <c r="E326" s="17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  <c r="AA326" s="175"/>
      <c r="AB326" s="175"/>
      <c r="AC326" s="175"/>
      <c r="AD326" s="175"/>
      <c r="AE326" s="175"/>
      <c r="AF326" s="175"/>
      <c r="AG326" s="175"/>
      <c r="AH326" s="175"/>
      <c r="AI326" s="175"/>
      <c r="AJ326" s="175"/>
    </row>
    <row r="327" spans="1:36">
      <c r="A327" s="175"/>
      <c r="B327" s="175"/>
      <c r="C327" s="175"/>
      <c r="D327" s="175"/>
      <c r="E327" s="17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  <c r="AA327" s="175"/>
      <c r="AB327" s="175"/>
      <c r="AC327" s="175"/>
      <c r="AD327" s="175"/>
      <c r="AE327" s="175"/>
      <c r="AF327" s="175"/>
      <c r="AG327" s="175"/>
      <c r="AH327" s="175"/>
      <c r="AI327" s="175"/>
      <c r="AJ327" s="175"/>
    </row>
    <row r="328" spans="1:36">
      <c r="A328" s="175"/>
      <c r="B328" s="175"/>
      <c r="C328" s="175"/>
      <c r="D328" s="175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  <c r="AA328" s="175"/>
      <c r="AB328" s="175"/>
      <c r="AC328" s="175"/>
      <c r="AD328" s="175"/>
      <c r="AE328" s="175"/>
      <c r="AF328" s="175"/>
      <c r="AG328" s="175"/>
      <c r="AH328" s="175"/>
      <c r="AI328" s="175"/>
      <c r="AJ328" s="175"/>
    </row>
    <row r="329" spans="1:36">
      <c r="A329" s="175"/>
      <c r="B329" s="175"/>
      <c r="C329" s="175"/>
      <c r="D329" s="175"/>
      <c r="E329" s="17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  <c r="AA329" s="175"/>
      <c r="AB329" s="175"/>
      <c r="AC329" s="175"/>
      <c r="AD329" s="175"/>
      <c r="AE329" s="175"/>
      <c r="AF329" s="175"/>
      <c r="AG329" s="175"/>
      <c r="AH329" s="175"/>
      <c r="AI329" s="175"/>
      <c r="AJ329" s="175"/>
    </row>
    <row r="330" spans="1:36">
      <c r="A330" s="175"/>
      <c r="B330" s="175"/>
      <c r="C330" s="175"/>
      <c r="D330" s="175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  <c r="AA330" s="175"/>
      <c r="AB330" s="175"/>
      <c r="AC330" s="175"/>
      <c r="AD330" s="175"/>
      <c r="AE330" s="175"/>
      <c r="AF330" s="175"/>
      <c r="AG330" s="175"/>
      <c r="AH330" s="175"/>
      <c r="AI330" s="175"/>
      <c r="AJ330" s="175"/>
    </row>
    <row r="331" spans="1:36">
      <c r="A331" s="175"/>
      <c r="B331" s="175"/>
      <c r="C331" s="175"/>
      <c r="D331" s="175"/>
      <c r="E331" s="17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  <c r="AA331" s="175"/>
      <c r="AB331" s="175"/>
      <c r="AC331" s="175"/>
      <c r="AD331" s="175"/>
      <c r="AE331" s="175"/>
      <c r="AF331" s="175"/>
      <c r="AG331" s="175"/>
      <c r="AH331" s="175"/>
      <c r="AI331" s="175"/>
      <c r="AJ331" s="175"/>
    </row>
    <row r="332" spans="1:36">
      <c r="A332" s="175"/>
      <c r="B332" s="175"/>
      <c r="C332" s="175"/>
      <c r="D332" s="175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  <c r="AA332" s="175"/>
      <c r="AB332" s="175"/>
      <c r="AC332" s="175"/>
      <c r="AD332" s="175"/>
      <c r="AE332" s="175"/>
      <c r="AF332" s="175"/>
      <c r="AG332" s="175"/>
      <c r="AH332" s="175"/>
      <c r="AI332" s="175"/>
      <c r="AJ332" s="175"/>
    </row>
    <row r="333" spans="1:36">
      <c r="A333" s="175"/>
      <c r="B333" s="175"/>
      <c r="C333" s="175"/>
      <c r="D333" s="175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  <c r="AA333" s="175"/>
      <c r="AB333" s="175"/>
      <c r="AC333" s="175"/>
      <c r="AD333" s="175"/>
      <c r="AE333" s="175"/>
      <c r="AF333" s="175"/>
      <c r="AG333" s="175"/>
      <c r="AH333" s="175"/>
      <c r="AI333" s="175"/>
      <c r="AJ333" s="175"/>
    </row>
    <row r="334" spans="1:36">
      <c r="A334" s="175"/>
      <c r="B334" s="175"/>
      <c r="C334" s="175"/>
      <c r="D334" s="175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  <c r="AA334" s="175"/>
      <c r="AB334" s="175"/>
      <c r="AC334" s="175"/>
      <c r="AD334" s="175"/>
      <c r="AE334" s="175"/>
      <c r="AF334" s="175"/>
      <c r="AG334" s="175"/>
      <c r="AH334" s="175"/>
      <c r="AI334" s="175"/>
      <c r="AJ334" s="175"/>
    </row>
    <row r="335" spans="1:36">
      <c r="A335" s="175"/>
      <c r="B335" s="175"/>
      <c r="C335" s="175"/>
      <c r="D335" s="175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  <c r="AA335" s="175"/>
      <c r="AB335" s="175"/>
      <c r="AC335" s="175"/>
      <c r="AD335" s="175"/>
      <c r="AE335" s="175"/>
      <c r="AF335" s="175"/>
      <c r="AG335" s="175"/>
      <c r="AH335" s="175"/>
      <c r="AI335" s="175"/>
      <c r="AJ335" s="175"/>
    </row>
    <row r="336" spans="1:36">
      <c r="A336" s="175"/>
      <c r="B336" s="175"/>
      <c r="C336" s="175"/>
      <c r="D336" s="175"/>
      <c r="E336" s="17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  <c r="AA336" s="175"/>
      <c r="AB336" s="175"/>
      <c r="AC336" s="175"/>
      <c r="AD336" s="175"/>
      <c r="AE336" s="175"/>
      <c r="AF336" s="175"/>
      <c r="AG336" s="175"/>
      <c r="AH336" s="175"/>
      <c r="AI336" s="175"/>
      <c r="AJ336" s="175"/>
    </row>
    <row r="337" spans="1:40">
      <c r="A337" s="175"/>
      <c r="B337" s="175"/>
      <c r="C337" s="175"/>
      <c r="D337" s="175"/>
      <c r="E337" s="17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  <c r="AA337" s="175"/>
      <c r="AB337" s="175"/>
      <c r="AC337" s="175"/>
      <c r="AD337" s="175"/>
      <c r="AE337" s="175"/>
      <c r="AF337" s="175"/>
      <c r="AG337" s="175"/>
      <c r="AH337" s="175"/>
      <c r="AI337" s="175"/>
      <c r="AJ337" s="175"/>
    </row>
    <row r="338" spans="1:40">
      <c r="A338" s="175"/>
      <c r="B338" s="175"/>
      <c r="C338" s="175"/>
      <c r="D338" s="175"/>
      <c r="E338" s="17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  <c r="AA338" s="175"/>
      <c r="AB338" s="175"/>
      <c r="AC338" s="175"/>
      <c r="AD338" s="175"/>
      <c r="AE338" s="175"/>
      <c r="AF338" s="175"/>
      <c r="AG338" s="175"/>
      <c r="AH338" s="175"/>
      <c r="AI338" s="175"/>
      <c r="AJ338" s="175"/>
    </row>
    <row r="339" spans="1:40">
      <c r="A339" s="175"/>
      <c r="B339" s="175"/>
      <c r="C339" s="175"/>
      <c r="D339" s="175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  <c r="AA339" s="175"/>
      <c r="AB339" s="175"/>
      <c r="AC339" s="175"/>
      <c r="AD339" s="175"/>
      <c r="AE339" s="175"/>
      <c r="AF339" s="175"/>
      <c r="AG339" s="175"/>
      <c r="AH339" s="175"/>
      <c r="AI339" s="175"/>
      <c r="AJ339" s="175"/>
    </row>
    <row r="340" spans="1:40">
      <c r="A340" s="175"/>
      <c r="B340" s="175"/>
      <c r="C340" s="175"/>
      <c r="D340" s="175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  <c r="AA340" s="175"/>
      <c r="AB340" s="175"/>
      <c r="AC340" s="175"/>
      <c r="AD340" s="175"/>
      <c r="AE340" s="175"/>
      <c r="AF340" s="175"/>
      <c r="AG340" s="175"/>
      <c r="AH340" s="175"/>
      <c r="AI340" s="175"/>
      <c r="AJ340" s="175"/>
    </row>
    <row r="341" spans="1:40">
      <c r="A341" s="175"/>
      <c r="B341" s="175"/>
      <c r="C341" s="175"/>
      <c r="D341" s="175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  <c r="AA341" s="175"/>
      <c r="AB341" s="175"/>
      <c r="AC341" s="175"/>
      <c r="AD341" s="175"/>
      <c r="AE341" s="175"/>
      <c r="AF341" s="175"/>
      <c r="AG341" s="175"/>
      <c r="AH341" s="175"/>
      <c r="AI341" s="175"/>
      <c r="AJ341" s="175"/>
    </row>
    <row r="342" spans="1:40">
      <c r="A342" s="175"/>
      <c r="B342" s="175"/>
      <c r="C342" s="175"/>
      <c r="D342" s="175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  <c r="AA342" s="175"/>
      <c r="AB342" s="175"/>
      <c r="AC342" s="175"/>
      <c r="AD342" s="175"/>
      <c r="AE342" s="175"/>
      <c r="AF342" s="175"/>
      <c r="AG342" s="175"/>
      <c r="AH342" s="175"/>
      <c r="AI342" s="175"/>
      <c r="AJ342" s="175"/>
    </row>
    <row r="346" spans="1:40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spans="1:40">
      <c r="AI347" s="3"/>
      <c r="AJ347" s="3"/>
      <c r="AK347" s="3"/>
      <c r="AL347" s="3"/>
      <c r="AM347" s="3"/>
      <c r="AN347" s="3"/>
    </row>
    <row r="358" spans="1:40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spans="1:40">
      <c r="AI359" s="3"/>
      <c r="AJ359" s="3"/>
      <c r="AK359" s="3"/>
      <c r="AL359" s="3"/>
      <c r="AM359" s="3"/>
      <c r="AN359" s="3"/>
    </row>
    <row r="370" spans="1:4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spans="1:40">
      <c r="AI371" s="3"/>
      <c r="AJ371" s="3"/>
      <c r="AK371" s="3"/>
      <c r="AL371" s="3"/>
      <c r="AM371" s="3"/>
      <c r="AN371" s="3"/>
    </row>
    <row r="382" spans="1:40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spans="1:40">
      <c r="AI383" s="3"/>
      <c r="AJ383" s="3"/>
      <c r="AK383" s="3"/>
      <c r="AL383" s="3"/>
      <c r="AM383" s="3"/>
      <c r="AN383" s="3"/>
    </row>
    <row r="391" spans="1:40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spans="1:40">
      <c r="AI392" s="3"/>
      <c r="AJ392" s="3"/>
      <c r="AK392" s="3"/>
      <c r="AL392" s="3"/>
      <c r="AM392" s="3"/>
      <c r="AN392" s="3"/>
    </row>
    <row r="400" spans="1:4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spans="1:40">
      <c r="AI401" s="3"/>
      <c r="AJ401" s="3"/>
      <c r="AK401" s="3"/>
      <c r="AL401" s="3"/>
      <c r="AM401" s="3"/>
      <c r="AN401" s="3"/>
    </row>
    <row r="409" spans="1:40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spans="1:40">
      <c r="AI410" s="3"/>
      <c r="AJ410" s="3"/>
      <c r="AK410" s="3"/>
      <c r="AL410" s="3"/>
      <c r="AM410" s="3"/>
      <c r="AN410" s="3"/>
    </row>
    <row r="421" spans="1:40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spans="1:40">
      <c r="AI422" s="3"/>
      <c r="AJ422" s="3"/>
      <c r="AK422" s="3"/>
      <c r="AL422" s="3"/>
      <c r="AM422" s="3"/>
      <c r="AN422" s="3"/>
    </row>
    <row r="433" spans="1:40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spans="1:40">
      <c r="AI434" s="3"/>
      <c r="AJ434" s="3"/>
      <c r="AK434" s="3"/>
      <c r="AL434" s="3"/>
      <c r="AM434" s="3"/>
      <c r="AN434" s="3"/>
    </row>
    <row r="445" spans="1:40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spans="1:40">
      <c r="AI446" s="3"/>
      <c r="AJ446" s="3"/>
      <c r="AK446" s="3"/>
      <c r="AL446" s="3"/>
      <c r="AM446" s="3"/>
      <c r="AN446" s="3"/>
    </row>
    <row r="452" spans="1:40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</row>
    <row r="453" spans="1:40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</row>
    <row r="454" spans="1:40">
      <c r="AI454" s="33"/>
      <c r="AJ454" s="33"/>
      <c r="AK454" s="33"/>
      <c r="AL454" s="33"/>
      <c r="AM454" s="33"/>
      <c r="AN454" s="33"/>
    </row>
    <row r="457" spans="1:40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spans="1:40">
      <c r="AI458" s="3"/>
      <c r="AJ458" s="3"/>
      <c r="AK458" s="3"/>
      <c r="AL458" s="3"/>
      <c r="AM458" s="3"/>
      <c r="AN458" s="3"/>
    </row>
    <row r="469" spans="1:40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spans="1:40">
      <c r="AI470" s="3"/>
      <c r="AJ470" s="3"/>
      <c r="AK470" s="3"/>
      <c r="AL470" s="3"/>
      <c r="AM470" s="3"/>
      <c r="AN470" s="3"/>
    </row>
    <row r="481" spans="1:40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spans="1:40">
      <c r="AI482" s="3"/>
      <c r="AJ482" s="3"/>
      <c r="AK482" s="3"/>
      <c r="AL482" s="3"/>
      <c r="AM482" s="3"/>
      <c r="AN482" s="3"/>
    </row>
    <row r="493" spans="1:40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spans="1:40">
      <c r="AI494" s="3"/>
      <c r="AJ494" s="3"/>
      <c r="AK494" s="3"/>
      <c r="AL494" s="3"/>
      <c r="AM494" s="3"/>
      <c r="AN494" s="3"/>
    </row>
    <row r="505" spans="1:40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spans="1:40">
      <c r="AI506" s="3"/>
      <c r="AJ506" s="3"/>
      <c r="AK506" s="3"/>
      <c r="AL506" s="3"/>
      <c r="AM506" s="3"/>
      <c r="AN506" s="3"/>
    </row>
    <row r="518" spans="1:40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spans="1:40">
      <c r="AI519" s="3"/>
      <c r="AJ519" s="3"/>
      <c r="AK519" s="3"/>
      <c r="AL519" s="3"/>
      <c r="AM519" s="3"/>
      <c r="AN519" s="3"/>
    </row>
    <row r="530" spans="1:4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spans="1:40">
      <c r="AI531" s="3"/>
      <c r="AJ531" s="3"/>
      <c r="AK531" s="3"/>
      <c r="AL531" s="3"/>
      <c r="AM531" s="3"/>
      <c r="AN531" s="3"/>
    </row>
    <row r="542" spans="1:40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spans="1:40">
      <c r="AI543" s="3"/>
      <c r="AJ543" s="3"/>
      <c r="AK543" s="3"/>
      <c r="AL543" s="3"/>
      <c r="AM543" s="3"/>
      <c r="AN543" s="3"/>
    </row>
    <row r="557" spans="1:40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spans="1:40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</row>
    <row r="559" spans="1:40">
      <c r="AI559" s="3"/>
      <c r="AJ559" s="3"/>
      <c r="AK559" s="3"/>
      <c r="AL559" s="3"/>
      <c r="AM559" s="3"/>
      <c r="AN559" s="3"/>
    </row>
    <row r="562" spans="1:40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spans="1:40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 spans="1:40">
      <c r="AI564" s="3"/>
      <c r="AJ564" s="3"/>
      <c r="AK564" s="3"/>
      <c r="AL564" s="3"/>
      <c r="AM564" s="3"/>
      <c r="AN564" s="3"/>
    </row>
    <row r="567" spans="1:40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spans="1:40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 spans="1:40">
      <c r="AI569" s="3"/>
      <c r="AJ569" s="3"/>
      <c r="AK569" s="3"/>
      <c r="AL569" s="3"/>
      <c r="AM569" s="3"/>
      <c r="AN569" s="3"/>
    </row>
    <row r="573" spans="1:40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spans="1:40">
      <c r="AI574" s="3"/>
      <c r="AJ574" s="3"/>
      <c r="AK574" s="3"/>
      <c r="AL574" s="3"/>
      <c r="AM574" s="3"/>
      <c r="AN574" s="3"/>
    </row>
    <row r="577" spans="1:40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spans="1:40">
      <c r="AI578" s="3"/>
      <c r="AJ578" s="3"/>
      <c r="AK578" s="3"/>
      <c r="AL578" s="3"/>
      <c r="AM578" s="3"/>
      <c r="AN578" s="3"/>
    </row>
    <row r="582" spans="1:40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spans="1:40">
      <c r="AI583" s="3"/>
      <c r="AJ583" s="3"/>
      <c r="AK583" s="3"/>
      <c r="AL583" s="3"/>
      <c r="AM583" s="3"/>
      <c r="AN583" s="3"/>
    </row>
    <row r="587" spans="1:40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spans="1:40">
      <c r="AI588" s="3"/>
      <c r="AJ588" s="3"/>
      <c r="AK588" s="3"/>
      <c r="AL588" s="3"/>
      <c r="AM588" s="3"/>
      <c r="AN588" s="3"/>
    </row>
    <row r="602" spans="1:40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spans="1:40">
      <c r="AI603" s="3"/>
      <c r="AJ603" s="3"/>
      <c r="AK603" s="3"/>
      <c r="AL603" s="3"/>
      <c r="AM603" s="3"/>
      <c r="AN603" s="3"/>
    </row>
    <row r="608" spans="1:40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spans="1:40">
      <c r="AI609" s="3"/>
      <c r="AJ609" s="3"/>
      <c r="AK609" s="3"/>
      <c r="AL609" s="3"/>
      <c r="AM609" s="3"/>
      <c r="AN609" s="3"/>
    </row>
    <row r="615" spans="1:40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spans="1:40">
      <c r="AI616" s="3"/>
      <c r="AJ616" s="3"/>
      <c r="AK616" s="3"/>
      <c r="AL616" s="3"/>
      <c r="AM616" s="3"/>
      <c r="AN616" s="3"/>
    </row>
    <row r="619" spans="1:40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spans="1:40">
      <c r="AI620" s="3"/>
      <c r="AJ620" s="3"/>
      <c r="AK620" s="3"/>
      <c r="AL620" s="3"/>
      <c r="AM620" s="3"/>
      <c r="AN620" s="3"/>
    </row>
    <row r="623" spans="1:40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spans="1:40">
      <c r="AI624" s="3"/>
      <c r="AJ624" s="3"/>
      <c r="AK624" s="3"/>
      <c r="AL624" s="3"/>
      <c r="AM624" s="3"/>
      <c r="AN624" s="3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5B38-5504-4999-B478-E123F4863567}">
  <dimension ref="A1:E34"/>
  <sheetViews>
    <sheetView zoomScale="80" zoomScaleNormal="80" workbookViewId="0"/>
  </sheetViews>
  <sheetFormatPr defaultRowHeight="13.5"/>
  <cols>
    <col min="2" max="5" width="10" customWidth="1"/>
  </cols>
  <sheetData>
    <row r="1" spans="1:5" s="152" customFormat="1" ht="15">
      <c r="A1" s="152" t="s">
        <v>109</v>
      </c>
    </row>
    <row r="2" spans="1:5">
      <c r="A2" s="124"/>
      <c r="B2" s="124"/>
      <c r="C2" s="124"/>
      <c r="D2" s="124"/>
      <c r="E2" s="124"/>
    </row>
    <row r="3" spans="1:5" ht="14.25">
      <c r="A3" s="126" t="s">
        <v>56</v>
      </c>
      <c r="B3" s="126" t="s">
        <v>48</v>
      </c>
      <c r="C3" s="126" t="s">
        <v>49</v>
      </c>
      <c r="D3" s="126" t="s">
        <v>50</v>
      </c>
      <c r="E3" s="126" t="s">
        <v>51</v>
      </c>
    </row>
    <row r="4" spans="1:5" ht="16.5">
      <c r="A4" s="126" t="s">
        <v>57</v>
      </c>
      <c r="B4" s="127" t="s">
        <v>58</v>
      </c>
      <c r="C4" s="127" t="s">
        <v>59</v>
      </c>
      <c r="D4" s="127" t="s">
        <v>58</v>
      </c>
      <c r="E4" s="127" t="s">
        <v>52</v>
      </c>
    </row>
    <row r="5" spans="1:5" ht="15.75">
      <c r="A5" s="128">
        <v>2005</v>
      </c>
      <c r="B5" s="130">
        <v>5.31</v>
      </c>
      <c r="C5" s="130">
        <v>1.06</v>
      </c>
      <c r="D5" s="130">
        <v>1202.79</v>
      </c>
      <c r="E5" s="130">
        <v>31.45</v>
      </c>
    </row>
    <row r="6" spans="1:5" ht="15.75">
      <c r="A6" s="128">
        <v>2006</v>
      </c>
      <c r="B6" s="130">
        <v>15.98</v>
      </c>
      <c r="C6" s="130">
        <v>1.32</v>
      </c>
      <c r="D6" s="130">
        <v>62.95</v>
      </c>
      <c r="E6" s="130">
        <v>7.19</v>
      </c>
    </row>
    <row r="7" spans="1:5" ht="15.75">
      <c r="A7" s="128">
        <v>2007</v>
      </c>
      <c r="B7" s="130">
        <v>4.26</v>
      </c>
      <c r="C7" s="130">
        <v>1.21</v>
      </c>
      <c r="D7" s="130" t="s">
        <v>39</v>
      </c>
      <c r="E7" s="130">
        <v>32.11</v>
      </c>
    </row>
    <row r="8" spans="1:5" ht="15.75">
      <c r="A8" s="128">
        <v>2008</v>
      </c>
      <c r="B8" s="130">
        <v>7.09</v>
      </c>
      <c r="C8" s="130">
        <v>1.17</v>
      </c>
      <c r="D8" s="130">
        <v>1018.06</v>
      </c>
      <c r="E8" s="130">
        <v>12.95</v>
      </c>
    </row>
    <row r="9" spans="1:5" ht="15.75">
      <c r="A9" s="128">
        <v>2009</v>
      </c>
      <c r="B9" s="130">
        <v>15.16</v>
      </c>
      <c r="C9" s="130">
        <v>1.06</v>
      </c>
      <c r="D9" s="130">
        <v>1414.79</v>
      </c>
      <c r="E9" s="130">
        <v>24.06</v>
      </c>
    </row>
    <row r="10" spans="1:5" ht="15.75">
      <c r="A10" s="128">
        <v>2010</v>
      </c>
      <c r="B10" s="130">
        <v>173.78</v>
      </c>
      <c r="C10" s="130">
        <v>1.21</v>
      </c>
      <c r="D10" s="130">
        <v>15258.18</v>
      </c>
      <c r="E10" s="130">
        <v>37.49</v>
      </c>
    </row>
    <row r="11" spans="1:5" ht="15.75">
      <c r="A11" s="128">
        <v>2011</v>
      </c>
      <c r="B11" s="130">
        <v>43.72</v>
      </c>
      <c r="C11" s="130">
        <v>2.74</v>
      </c>
      <c r="D11" s="130">
        <v>7358.56</v>
      </c>
      <c r="E11" s="130">
        <v>51.99</v>
      </c>
    </row>
    <row r="12" spans="1:5" ht="15.75">
      <c r="A12" s="128">
        <v>2012</v>
      </c>
      <c r="B12" s="130">
        <v>78.56</v>
      </c>
      <c r="C12" s="130">
        <v>14.41</v>
      </c>
      <c r="D12" s="130">
        <v>5714.65</v>
      </c>
      <c r="E12" s="130">
        <v>115.86</v>
      </c>
    </row>
    <row r="13" spans="1:5" ht="15.75">
      <c r="A13" s="128">
        <v>2013</v>
      </c>
      <c r="B13" s="130">
        <v>29.73</v>
      </c>
      <c r="C13" s="130">
        <v>16.95</v>
      </c>
      <c r="D13" s="130">
        <v>6600.84</v>
      </c>
      <c r="E13" s="130">
        <v>133.91</v>
      </c>
    </row>
    <row r="14" spans="1:5" ht="15.75">
      <c r="A14" s="128">
        <v>2014</v>
      </c>
      <c r="B14" s="130">
        <v>439.75</v>
      </c>
      <c r="C14" s="130">
        <v>7.04</v>
      </c>
      <c r="D14" s="130">
        <v>11891.65</v>
      </c>
      <c r="E14" s="130">
        <v>306.31</v>
      </c>
    </row>
    <row r="15" spans="1:5" ht="15.75">
      <c r="A15" s="128">
        <v>2015</v>
      </c>
      <c r="B15" s="130">
        <v>883.81</v>
      </c>
      <c r="C15" s="130">
        <v>11.75</v>
      </c>
      <c r="D15" s="130">
        <v>34764.07</v>
      </c>
      <c r="E15" s="130">
        <v>146.12</v>
      </c>
    </row>
    <row r="16" spans="1:5" ht="15.75">
      <c r="A16" s="128">
        <v>2016</v>
      </c>
      <c r="B16" s="130">
        <v>576.1</v>
      </c>
      <c r="C16" s="130">
        <v>115.64</v>
      </c>
      <c r="D16" s="130">
        <v>15550.85</v>
      </c>
      <c r="E16" s="130">
        <v>240.64</v>
      </c>
    </row>
    <row r="17" spans="1:5" ht="15.75">
      <c r="A17" s="128">
        <v>2017</v>
      </c>
      <c r="B17" s="130">
        <v>2622.09</v>
      </c>
      <c r="C17" s="130">
        <v>16.829999999999998</v>
      </c>
      <c r="D17" s="130">
        <v>17091.560000000001</v>
      </c>
      <c r="E17" s="130">
        <v>451.61</v>
      </c>
    </row>
    <row r="18" spans="1:5" ht="15.75">
      <c r="A18" s="128">
        <v>2018</v>
      </c>
      <c r="B18" s="130">
        <v>4088.5</v>
      </c>
      <c r="C18" s="130">
        <v>165.17</v>
      </c>
      <c r="D18" s="130">
        <v>54528.35</v>
      </c>
      <c r="E18" s="130">
        <v>1354.24</v>
      </c>
    </row>
    <row r="19" spans="1:5" ht="15.75">
      <c r="A19" s="128">
        <v>2019</v>
      </c>
      <c r="B19" s="130">
        <v>2918.17</v>
      </c>
      <c r="C19" s="130">
        <v>202.86</v>
      </c>
      <c r="D19" s="130">
        <v>13870.31</v>
      </c>
      <c r="E19" s="130">
        <v>1803.8</v>
      </c>
    </row>
    <row r="20" spans="1:5" ht="15.75">
      <c r="A20" s="128">
        <v>2020</v>
      </c>
      <c r="B20" s="130">
        <v>13610.56</v>
      </c>
      <c r="C20" s="130">
        <v>916.21</v>
      </c>
      <c r="D20" s="130">
        <v>23473.040000000001</v>
      </c>
      <c r="E20" s="130">
        <v>681.31</v>
      </c>
    </row>
    <row r="21" spans="1:5" ht="15.75">
      <c r="A21" s="128">
        <v>2021</v>
      </c>
      <c r="B21" s="130">
        <v>4492.42</v>
      </c>
      <c r="C21" s="130">
        <v>783.88</v>
      </c>
      <c r="D21" s="130">
        <v>36506.239999999998</v>
      </c>
      <c r="E21" s="130">
        <v>1065.6300000000001</v>
      </c>
    </row>
    <row r="22" spans="1:5" ht="15.75">
      <c r="A22" s="128">
        <v>2022</v>
      </c>
      <c r="B22" s="130">
        <v>2936.57</v>
      </c>
      <c r="C22" s="130">
        <v>390.95</v>
      </c>
      <c r="D22" s="130">
        <v>32893.79</v>
      </c>
      <c r="E22" s="130">
        <v>1417.35</v>
      </c>
    </row>
    <row r="23" spans="1:5" ht="15.75">
      <c r="A23" s="128">
        <v>2023</v>
      </c>
      <c r="B23" s="130">
        <v>1163.1099999999999</v>
      </c>
      <c r="C23" s="130">
        <v>260.75</v>
      </c>
      <c r="D23" s="130">
        <v>23400.37</v>
      </c>
      <c r="E23" s="130">
        <v>940.88</v>
      </c>
    </row>
    <row r="24" spans="1:5" ht="15.75">
      <c r="A24" s="129">
        <v>2024</v>
      </c>
      <c r="B24" s="131" t="s">
        <v>53</v>
      </c>
      <c r="C24" s="131" t="s">
        <v>53</v>
      </c>
      <c r="D24" s="131" t="s">
        <v>53</v>
      </c>
      <c r="E24" s="131">
        <v>253.14</v>
      </c>
    </row>
    <row r="25" spans="1:5" ht="15.75">
      <c r="A25" s="128" t="s">
        <v>54</v>
      </c>
      <c r="B25" s="132">
        <v>4.1100000000000003E-5</v>
      </c>
      <c r="C25" s="132">
        <v>2.0799999999999999E-4</v>
      </c>
      <c r="D25" s="133">
        <v>0.7</v>
      </c>
      <c r="E25" s="133">
        <v>0.42</v>
      </c>
    </row>
    <row r="26" spans="1:5" ht="15.75">
      <c r="A26" s="129" t="s">
        <v>55</v>
      </c>
      <c r="B26" s="134">
        <v>1.65</v>
      </c>
      <c r="C26" s="134">
        <v>1.32</v>
      </c>
      <c r="D26" s="134">
        <v>0.98</v>
      </c>
      <c r="E26" s="134" t="s">
        <v>40</v>
      </c>
    </row>
    <row r="29" spans="1:5" ht="15">
      <c r="A29" s="152" t="s">
        <v>110</v>
      </c>
    </row>
    <row r="30" spans="1:5" ht="15">
      <c r="A30" s="152" t="s">
        <v>111</v>
      </c>
    </row>
    <row r="31" spans="1:5" ht="15">
      <c r="A31" s="152" t="s">
        <v>112</v>
      </c>
    </row>
    <row r="32" spans="1:5" ht="15">
      <c r="A32" s="152" t="s">
        <v>113</v>
      </c>
    </row>
    <row r="33" spans="1:1" ht="15">
      <c r="A33" s="152" t="s">
        <v>114</v>
      </c>
    </row>
    <row r="34" spans="1:1" ht="15">
      <c r="A34" s="152" t="s">
        <v>115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41CD-4685-421A-BD76-613AA6CBC2B1}">
  <dimension ref="A1:M13"/>
  <sheetViews>
    <sheetView zoomScale="80" zoomScaleNormal="80" workbookViewId="0">
      <selection activeCell="G27" sqref="G27"/>
    </sheetView>
  </sheetViews>
  <sheetFormatPr defaultRowHeight="13.5"/>
  <cols>
    <col min="4" max="4" width="13.25" customWidth="1"/>
    <col min="5" max="6" width="12.625" customWidth="1"/>
  </cols>
  <sheetData>
    <row r="1" spans="1:13" ht="15.75" thickBot="1">
      <c r="A1" t="s">
        <v>42</v>
      </c>
      <c r="E1" s="109"/>
    </row>
    <row r="2" spans="1:13" ht="30" customHeight="1">
      <c r="A2" s="248" t="s">
        <v>116</v>
      </c>
      <c r="B2" s="250" t="s">
        <v>14</v>
      </c>
      <c r="C2" s="253" t="s">
        <v>15</v>
      </c>
      <c r="D2" s="253" t="s">
        <v>41</v>
      </c>
      <c r="E2" s="252" t="s">
        <v>16</v>
      </c>
      <c r="F2" s="252"/>
      <c r="G2" s="250" t="s">
        <v>17</v>
      </c>
      <c r="H2" s="250" t="s">
        <v>18</v>
      </c>
      <c r="K2" s="166"/>
    </row>
    <row r="3" spans="1:13" ht="15">
      <c r="A3" s="249"/>
      <c r="B3" s="251"/>
      <c r="C3" s="254"/>
      <c r="D3" s="254"/>
      <c r="E3" s="104" t="s">
        <v>44</v>
      </c>
      <c r="F3" s="104" t="s">
        <v>45</v>
      </c>
      <c r="G3" s="251"/>
      <c r="H3" s="251"/>
    </row>
    <row r="4" spans="1:13" ht="15">
      <c r="A4" s="45" t="s">
        <v>19</v>
      </c>
      <c r="B4" s="47">
        <v>0.36</v>
      </c>
      <c r="C4" s="47">
        <v>0.18</v>
      </c>
      <c r="D4" s="47">
        <v>0.28999999999999998</v>
      </c>
      <c r="E4" s="47">
        <v>15</v>
      </c>
      <c r="F4" s="47">
        <v>17</v>
      </c>
      <c r="G4" s="47">
        <v>0.4</v>
      </c>
      <c r="H4" s="105" t="s">
        <v>20</v>
      </c>
    </row>
    <row r="5" spans="1:13" ht="15">
      <c r="A5" s="45" t="s">
        <v>21</v>
      </c>
      <c r="B5" s="47">
        <v>0.37</v>
      </c>
      <c r="C5" s="47">
        <v>0.18</v>
      </c>
      <c r="D5" s="47">
        <v>0.28999999999999998</v>
      </c>
      <c r="E5" s="47">
        <v>37</v>
      </c>
      <c r="F5" s="47">
        <v>45</v>
      </c>
      <c r="G5" s="47">
        <v>0.4</v>
      </c>
      <c r="H5" s="105">
        <v>0.2</v>
      </c>
    </row>
    <row r="6" spans="1:13" ht="15">
      <c r="A6" s="45" t="s">
        <v>22</v>
      </c>
      <c r="B6" s="47">
        <v>0.49</v>
      </c>
      <c r="C6" s="47">
        <v>0.24</v>
      </c>
      <c r="D6" s="47">
        <v>0.52</v>
      </c>
      <c r="E6" s="47">
        <v>47</v>
      </c>
      <c r="F6" s="47">
        <v>81</v>
      </c>
      <c r="G6" s="47">
        <v>0.4</v>
      </c>
      <c r="H6" s="105" t="s">
        <v>23</v>
      </c>
    </row>
    <row r="7" spans="1:13" ht="15">
      <c r="A7" s="45" t="s">
        <v>24</v>
      </c>
      <c r="B7" s="105" t="s">
        <v>25</v>
      </c>
      <c r="C7" s="105" t="s">
        <v>26</v>
      </c>
      <c r="D7" s="47">
        <v>0.57999999999999996</v>
      </c>
      <c r="E7" s="47">
        <v>58</v>
      </c>
      <c r="F7" s="47">
        <v>105</v>
      </c>
      <c r="G7" s="47">
        <v>0.4</v>
      </c>
      <c r="H7" s="105" t="s">
        <v>23</v>
      </c>
    </row>
    <row r="8" spans="1:13" ht="15">
      <c r="A8" s="45" t="s">
        <v>27</v>
      </c>
      <c r="B8" s="105" t="s">
        <v>25</v>
      </c>
      <c r="C8" s="105" t="s">
        <v>26</v>
      </c>
      <c r="D8" s="105" t="s">
        <v>43</v>
      </c>
      <c r="E8" s="47">
        <v>78</v>
      </c>
      <c r="F8" s="47">
        <v>121</v>
      </c>
      <c r="G8" s="47">
        <v>0.4</v>
      </c>
      <c r="H8" s="105" t="s">
        <v>23</v>
      </c>
    </row>
    <row r="9" spans="1:13" ht="15.75" thickBot="1">
      <c r="A9" s="46" t="s">
        <v>28</v>
      </c>
      <c r="B9" s="106" t="s">
        <v>25</v>
      </c>
      <c r="C9" s="106" t="s">
        <v>26</v>
      </c>
      <c r="D9" s="106" t="s">
        <v>43</v>
      </c>
      <c r="E9" s="48">
        <v>103</v>
      </c>
      <c r="F9" s="48">
        <v>138</v>
      </c>
      <c r="G9" s="48">
        <v>0.4</v>
      </c>
      <c r="H9" s="106" t="s">
        <v>23</v>
      </c>
    </row>
    <row r="10" spans="1:13">
      <c r="A10" t="s">
        <v>29</v>
      </c>
    </row>
    <row r="11" spans="1:13">
      <c r="A11" t="s">
        <v>30</v>
      </c>
    </row>
    <row r="12" spans="1:13">
      <c r="A12" t="s">
        <v>46</v>
      </c>
    </row>
    <row r="13" spans="1:13">
      <c r="M13" s="109"/>
    </row>
  </sheetData>
  <mergeCells count="7">
    <mergeCell ref="A2:A3"/>
    <mergeCell ref="G2:G3"/>
    <mergeCell ref="H2:H3"/>
    <mergeCell ref="E2:F2"/>
    <mergeCell ref="B2:B3"/>
    <mergeCell ref="C2:C3"/>
    <mergeCell ref="D2:D3"/>
  </mergeCells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4760-BD2E-4E05-9796-AB86AD8C6D27}">
  <dimension ref="A1:J5"/>
  <sheetViews>
    <sheetView zoomScale="80" zoomScaleNormal="80" workbookViewId="0">
      <selection activeCell="B3" sqref="B3"/>
    </sheetView>
  </sheetViews>
  <sheetFormatPr defaultRowHeight="13.5"/>
  <cols>
    <col min="1" max="1" width="17" customWidth="1"/>
    <col min="2" max="2" width="13" customWidth="1"/>
  </cols>
  <sheetData>
    <row r="1" spans="1:10">
      <c r="A1" s="186" t="s">
        <v>117</v>
      </c>
      <c r="B1" s="187"/>
      <c r="C1" s="187"/>
      <c r="D1" s="187"/>
      <c r="E1" s="187"/>
      <c r="F1" s="187"/>
      <c r="G1" s="187"/>
      <c r="H1" s="187"/>
    </row>
    <row r="2" spans="1:10" ht="14.25" thickBot="1">
      <c r="A2" s="186"/>
      <c r="B2" s="187"/>
      <c r="C2" s="187"/>
      <c r="D2" s="187"/>
      <c r="E2" s="187"/>
      <c r="F2" s="187"/>
      <c r="G2" s="187"/>
      <c r="H2" s="187"/>
    </row>
    <row r="3" spans="1:10" ht="32.25" customHeight="1" thickBot="1">
      <c r="A3" s="188" t="s">
        <v>118</v>
      </c>
      <c r="B3" s="189" t="s">
        <v>119</v>
      </c>
      <c r="C3" s="189" t="s">
        <v>120</v>
      </c>
      <c r="D3" s="190" t="s">
        <v>121</v>
      </c>
      <c r="E3" s="190" t="s">
        <v>122</v>
      </c>
      <c r="F3" s="190" t="s">
        <v>123</v>
      </c>
      <c r="G3" s="190" t="s">
        <v>124</v>
      </c>
      <c r="H3" s="187"/>
      <c r="J3" s="166"/>
    </row>
    <row r="4" spans="1:10" ht="32.25" customHeight="1" thickBot="1">
      <c r="A4" s="191" t="s">
        <v>125</v>
      </c>
      <c r="B4" s="192" t="s">
        <v>126</v>
      </c>
      <c r="C4" s="192" t="s">
        <v>127</v>
      </c>
      <c r="D4" s="193">
        <v>2.5999999999999999E-2</v>
      </c>
      <c r="E4" s="194">
        <v>764050</v>
      </c>
      <c r="F4" s="193">
        <v>0.70499999999999996</v>
      </c>
      <c r="G4" s="193" t="s">
        <v>128</v>
      </c>
      <c r="H4" s="187"/>
    </row>
    <row r="5" spans="1:10">
      <c r="A5" s="195" t="s">
        <v>129</v>
      </c>
      <c r="B5" s="187"/>
      <c r="C5" s="187"/>
      <c r="D5" s="187"/>
      <c r="E5" s="187"/>
      <c r="F5" s="187"/>
      <c r="G5" s="187"/>
      <c r="H5" s="187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EB6C-0138-43CD-8F29-417240CF97E9}">
  <dimension ref="A1:E13"/>
  <sheetViews>
    <sheetView zoomScale="80" zoomScaleNormal="80" workbookViewId="0">
      <selection activeCell="A2" sqref="A2"/>
    </sheetView>
  </sheetViews>
  <sheetFormatPr defaultRowHeight="13.5"/>
  <cols>
    <col min="1" max="2" width="16.5" customWidth="1"/>
    <col min="3" max="3" width="45.25" customWidth="1"/>
  </cols>
  <sheetData>
    <row r="1" spans="1:5">
      <c r="A1" s="186" t="s">
        <v>130</v>
      </c>
      <c r="B1" s="187"/>
      <c r="C1" s="187"/>
    </row>
    <row r="2" spans="1:5" ht="14.25" thickBot="1">
      <c r="A2" s="186"/>
      <c r="B2" s="187"/>
      <c r="C2" s="187"/>
      <c r="E2" s="166"/>
    </row>
    <row r="3" spans="1:5" ht="24" customHeight="1" thickBot="1">
      <c r="A3" s="188" t="s">
        <v>131</v>
      </c>
      <c r="B3" s="189" t="s">
        <v>132</v>
      </c>
      <c r="C3" s="189" t="s">
        <v>133</v>
      </c>
    </row>
    <row r="4" spans="1:5" ht="28.5" customHeight="1" thickBot="1">
      <c r="A4" s="196" t="s">
        <v>134</v>
      </c>
      <c r="B4" s="193" t="s">
        <v>135</v>
      </c>
      <c r="C4" s="197" t="s">
        <v>136</v>
      </c>
    </row>
    <row r="5" spans="1:5" ht="28.5" customHeight="1" thickBot="1">
      <c r="A5" s="196" t="s">
        <v>137</v>
      </c>
      <c r="B5" s="193" t="s">
        <v>138</v>
      </c>
      <c r="C5" s="197" t="s">
        <v>139</v>
      </c>
    </row>
    <row r="6" spans="1:5" ht="20.25" customHeight="1">
      <c r="A6" s="255" t="s">
        <v>140</v>
      </c>
      <c r="B6" s="257" t="s">
        <v>141</v>
      </c>
      <c r="C6" s="198" t="s">
        <v>142</v>
      </c>
    </row>
    <row r="7" spans="1:5" ht="20.25" customHeight="1" thickBot="1">
      <c r="A7" s="256"/>
      <c r="B7" s="258"/>
      <c r="C7" s="197" t="s">
        <v>143</v>
      </c>
    </row>
    <row r="8" spans="1:5" ht="21.75" customHeight="1">
      <c r="A8" s="255" t="s">
        <v>144</v>
      </c>
      <c r="B8" s="260" t="s">
        <v>145</v>
      </c>
      <c r="C8" s="261"/>
    </row>
    <row r="9" spans="1:5" ht="21.75" customHeight="1">
      <c r="A9" s="259"/>
      <c r="B9" s="262" t="s">
        <v>146</v>
      </c>
      <c r="C9" s="263"/>
    </row>
    <row r="10" spans="1:5" ht="21.75" customHeight="1" thickBot="1">
      <c r="A10" s="256"/>
      <c r="B10" s="264" t="s">
        <v>147</v>
      </c>
      <c r="C10" s="265"/>
    </row>
    <row r="11" spans="1:5" ht="28.5" customHeight="1" thickBot="1">
      <c r="A11" s="196" t="s">
        <v>148</v>
      </c>
      <c r="B11" s="201">
        <v>0.4</v>
      </c>
      <c r="C11" s="200" t="s">
        <v>149</v>
      </c>
    </row>
    <row r="12" spans="1:5" ht="28.5" customHeight="1" thickBot="1">
      <c r="A12" s="196" t="s">
        <v>150</v>
      </c>
      <c r="B12" s="193" t="s">
        <v>151</v>
      </c>
      <c r="C12" s="197" t="s">
        <v>152</v>
      </c>
    </row>
    <row r="13" spans="1:5">
      <c r="A13" s="177"/>
    </row>
  </sheetData>
  <mergeCells count="6">
    <mergeCell ref="A6:A7"/>
    <mergeCell ref="B6:B7"/>
    <mergeCell ref="A8:A10"/>
    <mergeCell ref="B8:C8"/>
    <mergeCell ref="B9:C9"/>
    <mergeCell ref="B10:C10"/>
  </mergeCells>
  <phoneticPr fontId="3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93136-3866-4FF5-8E4B-F397D92BBE66}">
  <dimension ref="A1:E16"/>
  <sheetViews>
    <sheetView zoomScale="80" zoomScaleNormal="80" workbookViewId="0"/>
  </sheetViews>
  <sheetFormatPr defaultRowHeight="13.5"/>
  <cols>
    <col min="1" max="1" width="18.375" customWidth="1"/>
    <col min="2" max="2" width="11.5" customWidth="1"/>
    <col min="3" max="3" width="53.75" customWidth="1"/>
  </cols>
  <sheetData>
    <row r="1" spans="1:5">
      <c r="A1" s="186" t="s">
        <v>153</v>
      </c>
      <c r="B1" s="187"/>
      <c r="C1" s="187"/>
    </row>
    <row r="2" spans="1:5" ht="14.25" thickBot="1">
      <c r="A2" s="186"/>
      <c r="B2" s="187"/>
      <c r="C2" s="187"/>
    </row>
    <row r="3" spans="1:5" ht="14.25" thickBot="1">
      <c r="A3" s="188" t="s">
        <v>131</v>
      </c>
      <c r="B3" s="189" t="s">
        <v>132</v>
      </c>
      <c r="C3" s="189" t="s">
        <v>133</v>
      </c>
      <c r="E3" s="166"/>
    </row>
    <row r="4" spans="1:5" ht="14.25" thickBot="1">
      <c r="A4" s="196" t="s">
        <v>154</v>
      </c>
      <c r="B4" s="193" t="s">
        <v>155</v>
      </c>
      <c r="C4" s="202" t="s">
        <v>156</v>
      </c>
    </row>
    <row r="5" spans="1:5" ht="17.25" customHeight="1">
      <c r="A5" s="255" t="s">
        <v>157</v>
      </c>
      <c r="B5" s="268" t="s">
        <v>158</v>
      </c>
      <c r="C5" s="269"/>
    </row>
    <row r="6" spans="1:5" ht="17.25" customHeight="1" thickBot="1">
      <c r="A6" s="256"/>
      <c r="B6" s="264" t="s">
        <v>159</v>
      </c>
      <c r="C6" s="265"/>
    </row>
    <row r="7" spans="1:5" ht="14.25" thickBot="1">
      <c r="A7" s="196" t="s">
        <v>160</v>
      </c>
      <c r="B7" s="201">
        <v>0.318</v>
      </c>
      <c r="C7" s="200" t="s">
        <v>161</v>
      </c>
    </row>
    <row r="8" spans="1:5" ht="14.25" thickBot="1">
      <c r="A8" s="196" t="s">
        <v>162</v>
      </c>
      <c r="B8" s="201">
        <v>0.21099999999999999</v>
      </c>
      <c r="C8" s="202" t="s">
        <v>163</v>
      </c>
    </row>
    <row r="9" spans="1:5" ht="14.25" thickBot="1">
      <c r="A9" s="196" t="s">
        <v>164</v>
      </c>
      <c r="B9" s="201">
        <v>0.26800000000000002</v>
      </c>
      <c r="C9" s="197" t="s">
        <v>165</v>
      </c>
    </row>
    <row r="10" spans="1:5" ht="14.25" thickBot="1">
      <c r="A10" s="270" t="s">
        <v>166</v>
      </c>
      <c r="B10" s="271"/>
      <c r="C10" s="272"/>
    </row>
    <row r="11" spans="1:5" ht="29.25" customHeight="1" thickBot="1">
      <c r="A11" s="196" t="s">
        <v>167</v>
      </c>
      <c r="B11" s="193">
        <v>2.35</v>
      </c>
      <c r="C11" s="203" t="s">
        <v>168</v>
      </c>
    </row>
    <row r="12" spans="1:5" ht="29.25" customHeight="1" thickBot="1">
      <c r="A12" s="196" t="s">
        <v>169</v>
      </c>
      <c r="B12" s="193">
        <v>2.0499999999999998</v>
      </c>
      <c r="C12" s="204" t="s">
        <v>170</v>
      </c>
    </row>
    <row r="13" spans="1:5" ht="26.25" customHeight="1" thickBot="1">
      <c r="A13" s="205" t="s">
        <v>171</v>
      </c>
      <c r="B13" s="273" t="s">
        <v>172</v>
      </c>
      <c r="C13" s="274"/>
    </row>
    <row r="14" spans="1:5" ht="26.25" customHeight="1" thickBot="1">
      <c r="A14" s="205" t="s">
        <v>173</v>
      </c>
      <c r="B14" s="273" t="s">
        <v>174</v>
      </c>
      <c r="C14" s="274"/>
    </row>
    <row r="15" spans="1:5" ht="14.25" thickBot="1">
      <c r="A15" s="205" t="s">
        <v>175</v>
      </c>
      <c r="B15" s="266" t="s">
        <v>176</v>
      </c>
      <c r="C15" s="267"/>
    </row>
    <row r="16" spans="1:5">
      <c r="A16" s="206" t="s">
        <v>177</v>
      </c>
      <c r="B16" s="187"/>
      <c r="C16" s="187"/>
    </row>
  </sheetData>
  <mergeCells count="7">
    <mergeCell ref="B15:C15"/>
    <mergeCell ref="A5:A6"/>
    <mergeCell ref="B5:C5"/>
    <mergeCell ref="B6:C6"/>
    <mergeCell ref="A10:C10"/>
    <mergeCell ref="B13:C13"/>
    <mergeCell ref="B14:C14"/>
  </mergeCells>
  <phoneticPr fontId="3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1A7B-D4A8-4801-BA8B-6A0FBA76B5F7}">
  <dimension ref="A1:F10"/>
  <sheetViews>
    <sheetView zoomScale="80" zoomScaleNormal="80" workbookViewId="0"/>
  </sheetViews>
  <sheetFormatPr defaultRowHeight="13.5"/>
  <cols>
    <col min="1" max="3" width="18.875" customWidth="1"/>
    <col min="4" max="4" width="23.375" customWidth="1"/>
  </cols>
  <sheetData>
    <row r="1" spans="1:6">
      <c r="A1" s="186" t="s">
        <v>178</v>
      </c>
      <c r="B1" s="187"/>
      <c r="C1" s="187"/>
      <c r="D1" s="187"/>
    </row>
    <row r="2" spans="1:6" ht="14.25" thickBot="1">
      <c r="A2" s="186"/>
      <c r="B2" s="187"/>
      <c r="C2" s="187"/>
      <c r="D2" s="187"/>
    </row>
    <row r="3" spans="1:6" ht="15.75" customHeight="1">
      <c r="A3" s="207" t="s">
        <v>179</v>
      </c>
      <c r="B3" s="208" t="s">
        <v>182</v>
      </c>
      <c r="C3" s="209" t="s">
        <v>184</v>
      </c>
      <c r="D3" s="208" t="s">
        <v>179</v>
      </c>
      <c r="F3" s="166"/>
    </row>
    <row r="4" spans="1:6" ht="15.75" customHeight="1">
      <c r="A4" s="210" t="s">
        <v>180</v>
      </c>
      <c r="B4" s="211" t="s">
        <v>183</v>
      </c>
      <c r="C4" s="211" t="s">
        <v>185</v>
      </c>
      <c r="D4" s="211" t="s">
        <v>187</v>
      </c>
    </row>
    <row r="5" spans="1:6" ht="15.75" customHeight="1" thickBot="1">
      <c r="A5" s="212" t="s">
        <v>181</v>
      </c>
      <c r="B5" s="192" t="s">
        <v>181</v>
      </c>
      <c r="C5" s="192" t="s">
        <v>186</v>
      </c>
      <c r="D5" s="213"/>
    </row>
    <row r="6" spans="1:6" ht="21.75" customHeight="1" thickBot="1">
      <c r="A6" s="199">
        <v>66.3</v>
      </c>
      <c r="B6" s="214">
        <v>139</v>
      </c>
      <c r="C6" s="193">
        <v>0.77</v>
      </c>
      <c r="D6" s="193">
        <v>24.8</v>
      </c>
    </row>
    <row r="7" spans="1:6">
      <c r="A7" s="275" t="s">
        <v>188</v>
      </c>
      <c r="B7" s="276"/>
      <c r="C7" s="276"/>
      <c r="D7" s="277"/>
    </row>
    <row r="8" spans="1:6" ht="32.25" customHeight="1">
      <c r="A8" s="278" t="s">
        <v>189</v>
      </c>
      <c r="B8" s="279"/>
      <c r="C8" s="279"/>
      <c r="D8" s="280"/>
    </row>
    <row r="9" spans="1:6" ht="24.75" customHeight="1">
      <c r="A9" s="278" t="s">
        <v>190</v>
      </c>
      <c r="B9" s="279"/>
      <c r="C9" s="279"/>
      <c r="D9" s="280"/>
    </row>
    <row r="10" spans="1:6" ht="23.25" customHeight="1" thickBot="1">
      <c r="A10" s="281" t="s">
        <v>191</v>
      </c>
      <c r="B10" s="282"/>
      <c r="C10" s="282"/>
      <c r="D10" s="283"/>
    </row>
  </sheetData>
  <mergeCells count="4">
    <mergeCell ref="A7:D7"/>
    <mergeCell ref="A8:D8"/>
    <mergeCell ref="A9:D9"/>
    <mergeCell ref="A10:D10"/>
  </mergeCells>
  <phoneticPr fontId="3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5438-2A61-44B1-ADB1-DB528BB7731D}">
  <dimension ref="A1:H18"/>
  <sheetViews>
    <sheetView zoomScale="80" zoomScaleNormal="80" workbookViewId="0"/>
  </sheetViews>
  <sheetFormatPr defaultRowHeight="13.5"/>
  <cols>
    <col min="1" max="1" width="10.875" customWidth="1"/>
    <col min="3" max="3" width="13.875" customWidth="1"/>
  </cols>
  <sheetData>
    <row r="1" spans="1:8">
      <c r="A1" s="186" t="s">
        <v>192</v>
      </c>
      <c r="B1" s="187"/>
      <c r="C1" s="187"/>
      <c r="D1" s="187"/>
      <c r="E1" s="187"/>
      <c r="F1" s="187"/>
    </row>
    <row r="2" spans="1:8" ht="14.25" thickBot="1">
      <c r="A2" s="186"/>
      <c r="B2" s="187"/>
      <c r="C2" s="187"/>
      <c r="D2" s="187"/>
      <c r="E2" s="187"/>
      <c r="F2" s="187"/>
    </row>
    <row r="3" spans="1:8" ht="14.25" thickBot="1">
      <c r="A3" s="284" t="s">
        <v>193</v>
      </c>
      <c r="B3" s="285"/>
      <c r="C3" s="285"/>
      <c r="D3" s="285"/>
      <c r="E3" s="285"/>
      <c r="F3" s="286"/>
      <c r="H3" s="166"/>
    </row>
    <row r="4" spans="1:8" ht="14.25" thickBot="1">
      <c r="A4" s="287" t="s">
        <v>131</v>
      </c>
      <c r="B4" s="210" t="s">
        <v>194</v>
      </c>
      <c r="C4" s="215">
        <v>0.9</v>
      </c>
      <c r="D4" s="290" t="s">
        <v>197</v>
      </c>
      <c r="E4" s="291"/>
      <c r="F4" s="292"/>
    </row>
    <row r="5" spans="1:8" ht="14.25" thickBot="1">
      <c r="A5" s="288"/>
      <c r="B5" s="216" t="s">
        <v>195</v>
      </c>
      <c r="C5" s="217" t="s">
        <v>196</v>
      </c>
      <c r="D5" s="284" t="s">
        <v>198</v>
      </c>
      <c r="E5" s="285"/>
      <c r="F5" s="286"/>
    </row>
    <row r="6" spans="1:8" ht="14.25" thickBot="1">
      <c r="A6" s="289"/>
      <c r="B6" s="212" t="s">
        <v>181</v>
      </c>
      <c r="C6" s="218" t="s">
        <v>181</v>
      </c>
      <c r="D6" s="219" t="s">
        <v>134</v>
      </c>
      <c r="E6" s="219" t="s">
        <v>137</v>
      </c>
      <c r="F6" s="219" t="s">
        <v>140</v>
      </c>
    </row>
    <row r="7" spans="1:8" ht="14.25" thickBot="1">
      <c r="A7" s="284" t="s">
        <v>199</v>
      </c>
      <c r="B7" s="285"/>
      <c r="C7" s="285"/>
      <c r="D7" s="285"/>
      <c r="E7" s="285"/>
      <c r="F7" s="286"/>
    </row>
    <row r="8" spans="1:8" ht="14.25" thickBot="1">
      <c r="A8" s="220" t="s">
        <v>200</v>
      </c>
      <c r="B8" s="221">
        <v>268.7</v>
      </c>
      <c r="C8" s="222" t="s">
        <v>201</v>
      </c>
      <c r="D8" s="223">
        <v>100</v>
      </c>
      <c r="E8" s="223">
        <v>100</v>
      </c>
      <c r="F8" s="223">
        <v>100</v>
      </c>
    </row>
    <row r="9" spans="1:8" ht="14.25" thickBot="1">
      <c r="A9" s="284" t="s">
        <v>202</v>
      </c>
      <c r="B9" s="285"/>
      <c r="C9" s="285"/>
      <c r="D9" s="285"/>
      <c r="E9" s="285"/>
      <c r="F9" s="286"/>
    </row>
    <row r="10" spans="1:8" ht="14.25" thickBot="1">
      <c r="A10" s="224" t="s">
        <v>203</v>
      </c>
      <c r="B10" s="222">
        <v>241.9</v>
      </c>
      <c r="C10" s="222" t="s">
        <v>204</v>
      </c>
      <c r="D10" s="223">
        <v>100</v>
      </c>
      <c r="E10" s="223">
        <v>100</v>
      </c>
      <c r="F10" s="223">
        <v>100</v>
      </c>
    </row>
    <row r="11" spans="1:8" ht="14.25" thickBot="1">
      <c r="A11" s="224" t="s">
        <v>205</v>
      </c>
      <c r="B11" s="222">
        <v>278.60000000000002</v>
      </c>
      <c r="C11" s="222" t="s">
        <v>206</v>
      </c>
      <c r="D11" s="223">
        <v>100</v>
      </c>
      <c r="E11" s="223">
        <v>100</v>
      </c>
      <c r="F11" s="223">
        <v>100</v>
      </c>
    </row>
    <row r="12" spans="1:8" ht="14.25" thickBot="1">
      <c r="A12" s="224" t="s">
        <v>207</v>
      </c>
      <c r="B12" s="222">
        <v>324.10000000000002</v>
      </c>
      <c r="C12" s="222" t="s">
        <v>208</v>
      </c>
      <c r="D12" s="223">
        <v>100</v>
      </c>
      <c r="E12" s="223">
        <v>100</v>
      </c>
      <c r="F12" s="223">
        <v>100</v>
      </c>
    </row>
    <row r="13" spans="1:8" ht="14.25" thickBot="1">
      <c r="A13" s="224" t="s">
        <v>209</v>
      </c>
      <c r="B13" s="222">
        <v>381.3</v>
      </c>
      <c r="C13" s="222" t="s">
        <v>210</v>
      </c>
      <c r="D13" s="223">
        <v>100</v>
      </c>
      <c r="E13" s="223">
        <v>100</v>
      </c>
      <c r="F13" s="223">
        <v>100</v>
      </c>
    </row>
    <row r="14" spans="1:8" ht="14.25" thickBot="1">
      <c r="A14" s="224" t="s">
        <v>211</v>
      </c>
      <c r="B14" s="222">
        <v>454.5</v>
      </c>
      <c r="C14" s="222" t="s">
        <v>212</v>
      </c>
      <c r="D14" s="223">
        <v>100</v>
      </c>
      <c r="E14" s="223">
        <v>100</v>
      </c>
      <c r="F14" s="223">
        <v>100</v>
      </c>
    </row>
    <row r="15" spans="1:8" ht="14.25" thickBot="1">
      <c r="A15" s="224" t="s">
        <v>213</v>
      </c>
      <c r="B15" s="222">
        <v>549.70000000000005</v>
      </c>
      <c r="C15" s="222" t="s">
        <v>214</v>
      </c>
      <c r="D15" s="223">
        <v>100</v>
      </c>
      <c r="E15" s="223">
        <v>100</v>
      </c>
      <c r="F15" s="223">
        <v>100</v>
      </c>
    </row>
    <row r="16" spans="1:8" ht="14.25" thickBot="1">
      <c r="A16" s="224" t="s">
        <v>215</v>
      </c>
      <c r="B16" s="222">
        <v>170.9</v>
      </c>
      <c r="C16" s="222" t="s">
        <v>216</v>
      </c>
      <c r="D16" s="223">
        <v>92</v>
      </c>
      <c r="E16" s="223">
        <v>100</v>
      </c>
      <c r="F16" s="223">
        <v>100</v>
      </c>
    </row>
    <row r="18" spans="1:1">
      <c r="A18" s="177"/>
    </row>
  </sheetData>
  <mergeCells count="6">
    <mergeCell ref="A9:F9"/>
    <mergeCell ref="A3:F3"/>
    <mergeCell ref="A4:A6"/>
    <mergeCell ref="D4:F4"/>
    <mergeCell ref="D5:F5"/>
    <mergeCell ref="A7:F7"/>
  </mergeCells>
  <phoneticPr fontId="3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254F-FBBA-4206-A3C0-1A4230AE56E3}">
  <dimension ref="A1:M57"/>
  <sheetViews>
    <sheetView topLeftCell="A23" zoomScale="80" zoomScaleNormal="80" workbookViewId="0"/>
  </sheetViews>
  <sheetFormatPr defaultRowHeight="15"/>
  <cols>
    <col min="1" max="16384" width="9" style="152"/>
  </cols>
  <sheetData>
    <row r="1" spans="1:12">
      <c r="A1" s="152" t="s">
        <v>217</v>
      </c>
    </row>
    <row r="2" spans="1:12" ht="18.75">
      <c r="A2" s="108" t="s">
        <v>218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>
      <c r="A4" s="178" t="s">
        <v>219</v>
      </c>
      <c r="B4" s="75"/>
      <c r="C4" s="75"/>
      <c r="D4" s="75"/>
      <c r="E4" s="75"/>
      <c r="F4" s="75"/>
      <c r="G4" s="75"/>
      <c r="H4" s="75"/>
      <c r="I4" s="136"/>
      <c r="J4" s="178"/>
      <c r="K4" s="75"/>
      <c r="L4" s="75"/>
    </row>
    <row r="5" spans="1:12" ht="15.75">
      <c r="A5" s="99" t="s">
        <v>62</v>
      </c>
      <c r="B5" s="137">
        <v>2024</v>
      </c>
      <c r="C5" s="137">
        <v>2025</v>
      </c>
      <c r="D5" s="137">
        <v>2026</v>
      </c>
      <c r="E5" s="137">
        <v>2027</v>
      </c>
      <c r="F5" s="137">
        <v>2028</v>
      </c>
      <c r="G5" s="137">
        <v>2029</v>
      </c>
      <c r="H5" s="137">
        <v>2030</v>
      </c>
      <c r="I5" s="137">
        <v>2031</v>
      </c>
      <c r="J5" s="137">
        <v>2032</v>
      </c>
      <c r="K5" s="137">
        <v>2033</v>
      </c>
      <c r="L5" s="137">
        <v>2034</v>
      </c>
    </row>
    <row r="6" spans="1:12" ht="15.75">
      <c r="A6" s="69" t="s">
        <v>63</v>
      </c>
      <c r="B6" s="138">
        <v>0.28999999999999998</v>
      </c>
      <c r="C6" s="138">
        <v>0.24</v>
      </c>
      <c r="D6" s="138">
        <v>0.15</v>
      </c>
      <c r="E6" s="138">
        <v>0.15</v>
      </c>
      <c r="F6" s="138">
        <v>0.15</v>
      </c>
      <c r="G6" s="138">
        <v>0.15</v>
      </c>
      <c r="H6" s="138">
        <v>0.15</v>
      </c>
      <c r="I6" s="138">
        <v>0.15</v>
      </c>
      <c r="J6" s="138">
        <v>0.15</v>
      </c>
      <c r="K6" s="138">
        <v>0.15</v>
      </c>
      <c r="L6" s="138">
        <v>0.15</v>
      </c>
    </row>
    <row r="7" spans="1:12" ht="15.75">
      <c r="A7" s="69" t="s">
        <v>64</v>
      </c>
      <c r="B7" s="138">
        <v>0.23</v>
      </c>
      <c r="C7" s="138">
        <v>0.24</v>
      </c>
      <c r="D7" s="138">
        <v>0.16</v>
      </c>
      <c r="E7" s="138">
        <v>0.16</v>
      </c>
      <c r="F7" s="138">
        <v>0.16</v>
      </c>
      <c r="G7" s="138">
        <v>0.16</v>
      </c>
      <c r="H7" s="138">
        <v>0.16</v>
      </c>
      <c r="I7" s="138">
        <v>0.16</v>
      </c>
      <c r="J7" s="138">
        <v>0.16</v>
      </c>
      <c r="K7" s="138">
        <v>0.16</v>
      </c>
      <c r="L7" s="138">
        <v>0.16</v>
      </c>
    </row>
    <row r="8" spans="1:12" ht="15.75">
      <c r="A8" s="69" t="s">
        <v>65</v>
      </c>
      <c r="B8" s="138">
        <v>0.52</v>
      </c>
      <c r="C8" s="138">
        <v>0.31</v>
      </c>
      <c r="D8" s="138">
        <v>0.21</v>
      </c>
      <c r="E8" s="138">
        <v>0.21</v>
      </c>
      <c r="F8" s="138">
        <v>0.21</v>
      </c>
      <c r="G8" s="138">
        <v>0.21</v>
      </c>
      <c r="H8" s="138">
        <v>0.21</v>
      </c>
      <c r="I8" s="138">
        <v>0.21</v>
      </c>
      <c r="J8" s="138">
        <v>0.21</v>
      </c>
      <c r="K8" s="138">
        <v>0.21</v>
      </c>
      <c r="L8" s="138">
        <v>0.21</v>
      </c>
    </row>
    <row r="9" spans="1:12" ht="15.75">
      <c r="A9" s="69" t="s">
        <v>66</v>
      </c>
      <c r="B9" s="138">
        <v>0.57999999999999996</v>
      </c>
      <c r="C9" s="138">
        <v>0.65</v>
      </c>
      <c r="D9" s="138">
        <v>0.42</v>
      </c>
      <c r="E9" s="138">
        <v>0.42</v>
      </c>
      <c r="F9" s="138">
        <v>0.42</v>
      </c>
      <c r="G9" s="138">
        <v>0.42</v>
      </c>
      <c r="H9" s="138">
        <v>0.42</v>
      </c>
      <c r="I9" s="138">
        <v>0.42</v>
      </c>
      <c r="J9" s="138">
        <v>0.42</v>
      </c>
      <c r="K9" s="138">
        <v>0.42</v>
      </c>
      <c r="L9" s="138">
        <v>0.42</v>
      </c>
    </row>
    <row r="10" spans="1:12" ht="15.75">
      <c r="A10" s="69" t="s">
        <v>67</v>
      </c>
      <c r="B10" s="138">
        <v>0.8</v>
      </c>
      <c r="C10" s="138">
        <v>0.65</v>
      </c>
      <c r="D10" s="138">
        <v>0.42</v>
      </c>
      <c r="E10" s="138">
        <v>0.42</v>
      </c>
      <c r="F10" s="138">
        <v>0.42</v>
      </c>
      <c r="G10" s="138">
        <v>0.42</v>
      </c>
      <c r="H10" s="138">
        <v>0.42</v>
      </c>
      <c r="I10" s="138">
        <v>0.42</v>
      </c>
      <c r="J10" s="138">
        <v>0.42</v>
      </c>
      <c r="K10" s="138">
        <v>0.42</v>
      </c>
      <c r="L10" s="138">
        <v>0.42</v>
      </c>
    </row>
    <row r="11" spans="1:12" ht="15.75">
      <c r="A11" s="69" t="s">
        <v>68</v>
      </c>
      <c r="B11" s="138">
        <v>0.8</v>
      </c>
      <c r="C11" s="138">
        <v>0.65</v>
      </c>
      <c r="D11" s="138">
        <v>0.42</v>
      </c>
      <c r="E11" s="138">
        <v>0.42</v>
      </c>
      <c r="F11" s="138">
        <v>0.42</v>
      </c>
      <c r="G11" s="138">
        <v>0.42</v>
      </c>
      <c r="H11" s="138">
        <v>0.42</v>
      </c>
      <c r="I11" s="138">
        <v>0.42</v>
      </c>
      <c r="J11" s="138">
        <v>0.42</v>
      </c>
      <c r="K11" s="138">
        <v>0.42</v>
      </c>
      <c r="L11" s="138">
        <v>0.42</v>
      </c>
    </row>
    <row r="12" spans="1:12" ht="15.75">
      <c r="A12" s="89" t="s">
        <v>220</v>
      </c>
      <c r="B12" s="139">
        <v>0.54</v>
      </c>
      <c r="C12" s="139">
        <v>0.46</v>
      </c>
      <c r="D12" s="139">
        <v>0.3</v>
      </c>
      <c r="E12" s="139">
        <v>0.3</v>
      </c>
      <c r="F12" s="139">
        <v>0.3</v>
      </c>
      <c r="G12" s="139">
        <v>0.3</v>
      </c>
      <c r="H12" s="139">
        <v>0.3</v>
      </c>
      <c r="I12" s="139">
        <v>0.3</v>
      </c>
      <c r="J12" s="139">
        <v>0.3</v>
      </c>
      <c r="K12" s="139">
        <v>0.3</v>
      </c>
      <c r="L12" s="139">
        <v>0.3</v>
      </c>
    </row>
    <row r="13" spans="1:12" ht="15.75">
      <c r="A13" s="136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</row>
    <row r="14" spans="1:12" ht="18">
      <c r="A14" s="75" t="s">
        <v>221</v>
      </c>
      <c r="B14" s="75"/>
      <c r="C14" s="75"/>
      <c r="D14" s="75"/>
      <c r="E14" s="75"/>
      <c r="F14" s="75"/>
      <c r="G14" s="75"/>
      <c r="H14" s="75"/>
      <c r="I14" s="136"/>
      <c r="J14" s="75"/>
      <c r="K14" s="75"/>
      <c r="L14" s="75"/>
    </row>
    <row r="15" spans="1:12" ht="15.75">
      <c r="A15" s="99" t="s">
        <v>62</v>
      </c>
      <c r="B15" s="137">
        <v>2024</v>
      </c>
      <c r="C15" s="137">
        <v>2025</v>
      </c>
      <c r="D15" s="137">
        <v>2026</v>
      </c>
      <c r="E15" s="137">
        <v>2027</v>
      </c>
      <c r="F15" s="137">
        <v>2028</v>
      </c>
      <c r="G15" s="137">
        <v>2029</v>
      </c>
      <c r="H15" s="137">
        <v>2030</v>
      </c>
      <c r="I15" s="137">
        <v>2031</v>
      </c>
      <c r="J15" s="137">
        <v>2032</v>
      </c>
      <c r="K15" s="137">
        <v>2033</v>
      </c>
      <c r="L15" s="137">
        <v>2034</v>
      </c>
    </row>
    <row r="16" spans="1:12" ht="15.75">
      <c r="A16" s="69" t="s">
        <v>63</v>
      </c>
      <c r="B16" s="95">
        <v>43111</v>
      </c>
      <c r="C16" s="95">
        <v>43029</v>
      </c>
      <c r="D16" s="95">
        <v>42710</v>
      </c>
      <c r="E16" s="95">
        <v>43017</v>
      </c>
      <c r="F16" s="95">
        <v>43062</v>
      </c>
      <c r="G16" s="95">
        <v>35337</v>
      </c>
      <c r="H16" s="95">
        <v>35063</v>
      </c>
      <c r="I16" s="95">
        <v>35113</v>
      </c>
      <c r="J16" s="95">
        <v>34984</v>
      </c>
      <c r="K16" s="95">
        <v>35523</v>
      </c>
      <c r="L16" s="95">
        <v>29889</v>
      </c>
    </row>
    <row r="17" spans="1:12" ht="15.75">
      <c r="A17" s="69" t="s">
        <v>64</v>
      </c>
      <c r="B17" s="95">
        <v>15946</v>
      </c>
      <c r="C17" s="95">
        <v>21664</v>
      </c>
      <c r="D17" s="95">
        <v>22796</v>
      </c>
      <c r="E17" s="95">
        <v>24547</v>
      </c>
      <c r="F17" s="95">
        <v>24724</v>
      </c>
      <c r="G17" s="95">
        <v>24750</v>
      </c>
      <c r="H17" s="95">
        <v>20310</v>
      </c>
      <c r="I17" s="95">
        <v>20153</v>
      </c>
      <c r="J17" s="95">
        <v>20181</v>
      </c>
      <c r="K17" s="95">
        <v>20107</v>
      </c>
      <c r="L17" s="95">
        <v>20417</v>
      </c>
    </row>
    <row r="18" spans="1:12" ht="15.75">
      <c r="A18" s="69" t="s">
        <v>65</v>
      </c>
      <c r="B18" s="95">
        <v>13749</v>
      </c>
      <c r="C18" s="95">
        <v>8466</v>
      </c>
      <c r="D18" s="95">
        <v>11432</v>
      </c>
      <c r="E18" s="95">
        <v>13068</v>
      </c>
      <c r="F18" s="95">
        <v>14072</v>
      </c>
      <c r="G18" s="95">
        <v>14173</v>
      </c>
      <c r="H18" s="95">
        <v>14188</v>
      </c>
      <c r="I18" s="95">
        <v>11642</v>
      </c>
      <c r="J18" s="95">
        <v>11552</v>
      </c>
      <c r="K18" s="95">
        <v>11569</v>
      </c>
      <c r="L18" s="95">
        <v>11526</v>
      </c>
    </row>
    <row r="19" spans="1:12" ht="15.75">
      <c r="A19" s="69" t="s">
        <v>66</v>
      </c>
      <c r="B19" s="95">
        <v>7123</v>
      </c>
      <c r="C19" s="95">
        <v>5460</v>
      </c>
      <c r="D19" s="95">
        <v>4144</v>
      </c>
      <c r="E19" s="95">
        <v>6239</v>
      </c>
      <c r="F19" s="95">
        <v>7132</v>
      </c>
      <c r="G19" s="95">
        <v>7680</v>
      </c>
      <c r="H19" s="95">
        <v>7735</v>
      </c>
      <c r="I19" s="95">
        <v>7744</v>
      </c>
      <c r="J19" s="95">
        <v>6354</v>
      </c>
      <c r="K19" s="95">
        <v>6305</v>
      </c>
      <c r="L19" s="95">
        <v>6314</v>
      </c>
    </row>
    <row r="20" spans="1:12" ht="15.75">
      <c r="A20" s="69" t="s">
        <v>67</v>
      </c>
      <c r="B20" s="95">
        <v>8614</v>
      </c>
      <c r="C20" s="95">
        <v>2663</v>
      </c>
      <c r="D20" s="95">
        <v>1915</v>
      </c>
      <c r="E20" s="95">
        <v>1819</v>
      </c>
      <c r="F20" s="95">
        <v>2738</v>
      </c>
      <c r="G20" s="95">
        <v>3130</v>
      </c>
      <c r="H20" s="95">
        <v>3370</v>
      </c>
      <c r="I20" s="95">
        <v>3395</v>
      </c>
      <c r="J20" s="95">
        <v>3398</v>
      </c>
      <c r="K20" s="95">
        <v>2789</v>
      </c>
      <c r="L20" s="95">
        <v>2767</v>
      </c>
    </row>
    <row r="21" spans="1:12" ht="15.75">
      <c r="A21" s="69" t="s">
        <v>68</v>
      </c>
      <c r="B21" s="95">
        <v>1324</v>
      </c>
      <c r="C21" s="95">
        <v>2982</v>
      </c>
      <c r="D21" s="95">
        <v>1984</v>
      </c>
      <c r="E21" s="95">
        <v>1713</v>
      </c>
      <c r="F21" s="95">
        <v>1552</v>
      </c>
      <c r="G21" s="95">
        <v>1886</v>
      </c>
      <c r="H21" s="95">
        <v>2204</v>
      </c>
      <c r="I21" s="95">
        <v>2450</v>
      </c>
      <c r="J21" s="95">
        <v>2569</v>
      </c>
      <c r="K21" s="95">
        <v>2622</v>
      </c>
      <c r="L21" s="95">
        <v>2378</v>
      </c>
    </row>
    <row r="22" spans="1:12" ht="15.75">
      <c r="A22" s="99" t="s">
        <v>71</v>
      </c>
      <c r="B22" s="74">
        <v>89867</v>
      </c>
      <c r="C22" s="74">
        <v>84264</v>
      </c>
      <c r="D22" s="74">
        <v>84981</v>
      </c>
      <c r="E22" s="74">
        <v>90403</v>
      </c>
      <c r="F22" s="74">
        <v>93280</v>
      </c>
      <c r="G22" s="74">
        <v>86956</v>
      </c>
      <c r="H22" s="74">
        <v>82870</v>
      </c>
      <c r="I22" s="74">
        <v>80497</v>
      </c>
      <c r="J22" s="74">
        <v>79038</v>
      </c>
      <c r="K22" s="74">
        <v>78915</v>
      </c>
      <c r="L22" s="74">
        <v>73291</v>
      </c>
    </row>
    <row r="23" spans="1:12" ht="15.75">
      <c r="A23" s="136"/>
      <c r="B23" s="141"/>
      <c r="C23" s="141"/>
      <c r="D23" s="141"/>
      <c r="E23" s="141"/>
      <c r="F23" s="141"/>
      <c r="G23" s="141"/>
      <c r="H23" s="141"/>
      <c r="I23" s="136"/>
      <c r="J23" s="136"/>
      <c r="K23" s="141"/>
      <c r="L23" s="141"/>
    </row>
    <row r="24" spans="1:12" ht="18">
      <c r="A24" s="75" t="s">
        <v>222</v>
      </c>
      <c r="B24" s="141"/>
      <c r="C24" s="141"/>
      <c r="D24" s="141"/>
      <c r="E24" s="141"/>
      <c r="F24" s="141"/>
      <c r="G24" s="141"/>
      <c r="H24" s="141"/>
      <c r="I24" s="136"/>
      <c r="J24" s="75"/>
      <c r="K24" s="141"/>
      <c r="L24" s="141"/>
    </row>
    <row r="25" spans="1:12" ht="15.75">
      <c r="A25" s="99" t="s">
        <v>62</v>
      </c>
      <c r="B25" s="137">
        <v>2024</v>
      </c>
      <c r="C25" s="137">
        <v>2025</v>
      </c>
      <c r="D25" s="137">
        <v>2026</v>
      </c>
      <c r="E25" s="137">
        <v>2027</v>
      </c>
      <c r="F25" s="137">
        <v>2028</v>
      </c>
      <c r="G25" s="137">
        <v>2029</v>
      </c>
      <c r="H25" s="137">
        <v>2030</v>
      </c>
      <c r="I25" s="137">
        <v>2031</v>
      </c>
      <c r="J25" s="137">
        <v>2032</v>
      </c>
      <c r="K25" s="137">
        <v>2033</v>
      </c>
      <c r="L25" s="137">
        <v>2034</v>
      </c>
    </row>
    <row r="26" spans="1:12" ht="15.75">
      <c r="A26" s="69" t="s">
        <v>63</v>
      </c>
      <c r="B26" s="95">
        <v>649</v>
      </c>
      <c r="C26" s="95">
        <v>648</v>
      </c>
      <c r="D26" s="95">
        <v>713</v>
      </c>
      <c r="E26" s="95">
        <v>718</v>
      </c>
      <c r="F26" s="95">
        <v>719</v>
      </c>
      <c r="G26" s="95">
        <v>590</v>
      </c>
      <c r="H26" s="95">
        <v>585</v>
      </c>
      <c r="I26" s="95">
        <v>586</v>
      </c>
      <c r="J26" s="95">
        <v>584</v>
      </c>
      <c r="K26" s="95">
        <v>593</v>
      </c>
      <c r="L26" s="95">
        <v>499</v>
      </c>
    </row>
    <row r="27" spans="1:12" ht="15.75">
      <c r="A27" s="69" t="s">
        <v>64</v>
      </c>
      <c r="B27" s="95">
        <v>589</v>
      </c>
      <c r="C27" s="95">
        <v>800</v>
      </c>
      <c r="D27" s="95">
        <v>1024</v>
      </c>
      <c r="E27" s="95">
        <v>1103</v>
      </c>
      <c r="F27" s="95">
        <v>1111</v>
      </c>
      <c r="G27" s="95">
        <v>1112</v>
      </c>
      <c r="H27" s="95">
        <v>912</v>
      </c>
      <c r="I27" s="95">
        <v>905</v>
      </c>
      <c r="J27" s="95">
        <v>907</v>
      </c>
      <c r="K27" s="95">
        <v>903</v>
      </c>
      <c r="L27" s="95">
        <v>917</v>
      </c>
    </row>
    <row r="28" spans="1:12" ht="15.75">
      <c r="A28" s="69" t="s">
        <v>65</v>
      </c>
      <c r="B28" s="95">
        <v>646</v>
      </c>
      <c r="C28" s="95">
        <v>398</v>
      </c>
      <c r="D28" s="95">
        <v>930</v>
      </c>
      <c r="E28" s="95">
        <v>1063</v>
      </c>
      <c r="F28" s="95">
        <v>1145</v>
      </c>
      <c r="G28" s="95">
        <v>1153</v>
      </c>
      <c r="H28" s="95">
        <v>1155</v>
      </c>
      <c r="I28" s="95">
        <v>947</v>
      </c>
      <c r="J28" s="95">
        <v>940</v>
      </c>
      <c r="K28" s="95">
        <v>941</v>
      </c>
      <c r="L28" s="95">
        <v>938</v>
      </c>
    </row>
    <row r="29" spans="1:12" ht="15.75">
      <c r="A29" s="69" t="s">
        <v>66</v>
      </c>
      <c r="B29" s="95">
        <v>413</v>
      </c>
      <c r="C29" s="95">
        <v>316</v>
      </c>
      <c r="D29" s="95">
        <v>434</v>
      </c>
      <c r="E29" s="95">
        <v>654</v>
      </c>
      <c r="F29" s="95">
        <v>747</v>
      </c>
      <c r="G29" s="95">
        <v>805</v>
      </c>
      <c r="H29" s="95">
        <v>810</v>
      </c>
      <c r="I29" s="95">
        <v>811</v>
      </c>
      <c r="J29" s="95">
        <v>666</v>
      </c>
      <c r="K29" s="95">
        <v>661</v>
      </c>
      <c r="L29" s="95">
        <v>662</v>
      </c>
    </row>
    <row r="30" spans="1:12" ht="15.75">
      <c r="A30" s="69" t="s">
        <v>67</v>
      </c>
      <c r="B30" s="95">
        <v>674</v>
      </c>
      <c r="C30" s="95">
        <v>208</v>
      </c>
      <c r="D30" s="95">
        <v>231</v>
      </c>
      <c r="E30" s="95">
        <v>219</v>
      </c>
      <c r="F30" s="95">
        <v>330</v>
      </c>
      <c r="G30" s="95">
        <v>377</v>
      </c>
      <c r="H30" s="95">
        <v>406</v>
      </c>
      <c r="I30" s="95">
        <v>409</v>
      </c>
      <c r="J30" s="95">
        <v>410</v>
      </c>
      <c r="K30" s="95">
        <v>336</v>
      </c>
      <c r="L30" s="95">
        <v>334</v>
      </c>
    </row>
    <row r="31" spans="1:12" ht="15.75">
      <c r="A31" s="69" t="s">
        <v>68</v>
      </c>
      <c r="B31" s="95">
        <v>136</v>
      </c>
      <c r="C31" s="95">
        <v>307</v>
      </c>
      <c r="D31" s="95">
        <v>274</v>
      </c>
      <c r="E31" s="95">
        <v>237</v>
      </c>
      <c r="F31" s="95">
        <v>214</v>
      </c>
      <c r="G31" s="95">
        <v>260</v>
      </c>
      <c r="H31" s="95">
        <v>304</v>
      </c>
      <c r="I31" s="95">
        <v>338</v>
      </c>
      <c r="J31" s="95">
        <v>355</v>
      </c>
      <c r="K31" s="95">
        <v>362</v>
      </c>
      <c r="L31" s="95">
        <v>328</v>
      </c>
    </row>
    <row r="32" spans="1:12" ht="15.75">
      <c r="A32" s="99" t="s">
        <v>71</v>
      </c>
      <c r="B32" s="74">
        <v>3107</v>
      </c>
      <c r="C32" s="74">
        <v>2678</v>
      </c>
      <c r="D32" s="74">
        <v>3606</v>
      </c>
      <c r="E32" s="74">
        <v>3994</v>
      </c>
      <c r="F32" s="74">
        <v>4266</v>
      </c>
      <c r="G32" s="74">
        <v>4297</v>
      </c>
      <c r="H32" s="74">
        <v>4173</v>
      </c>
      <c r="I32" s="74">
        <v>3997</v>
      </c>
      <c r="J32" s="74">
        <v>3860</v>
      </c>
      <c r="K32" s="74">
        <v>3796</v>
      </c>
      <c r="L32" s="74">
        <v>3677</v>
      </c>
    </row>
    <row r="33" spans="1:12" ht="15.75">
      <c r="A33" s="99" t="s">
        <v>223</v>
      </c>
      <c r="B33" s="74">
        <v>1987</v>
      </c>
      <c r="C33" s="74">
        <v>1390</v>
      </c>
      <c r="D33" s="74">
        <v>2074</v>
      </c>
      <c r="E33" s="74">
        <v>2393</v>
      </c>
      <c r="F33" s="74">
        <v>2659</v>
      </c>
      <c r="G33" s="74">
        <v>2818</v>
      </c>
      <c r="H33" s="74">
        <v>2858</v>
      </c>
      <c r="I33" s="74">
        <v>2687</v>
      </c>
      <c r="J33" s="74">
        <v>2551</v>
      </c>
      <c r="K33" s="74">
        <v>2481</v>
      </c>
      <c r="L33" s="74">
        <v>2445</v>
      </c>
    </row>
    <row r="34" spans="1:12" ht="15.75">
      <c r="A34" s="141"/>
      <c r="B34" s="141"/>
      <c r="C34" s="141"/>
      <c r="D34" s="141"/>
      <c r="E34" s="141"/>
      <c r="F34" s="141"/>
      <c r="G34" s="141"/>
      <c r="H34" s="141"/>
      <c r="I34" s="136"/>
      <c r="J34" s="141"/>
      <c r="K34" s="141"/>
      <c r="L34" s="141"/>
    </row>
    <row r="35" spans="1:12" ht="18">
      <c r="A35" s="178" t="s">
        <v>224</v>
      </c>
      <c r="B35" s="141"/>
      <c r="C35" s="141"/>
      <c r="D35" s="141"/>
      <c r="E35" s="141"/>
      <c r="F35" s="141"/>
      <c r="G35" s="141"/>
      <c r="H35" s="141"/>
      <c r="I35" s="136"/>
      <c r="J35" s="178"/>
      <c r="K35" s="141"/>
      <c r="L35" s="141"/>
    </row>
    <row r="36" spans="1:12" ht="15.75">
      <c r="A36" s="99" t="s">
        <v>62</v>
      </c>
      <c r="B36" s="137">
        <v>2024</v>
      </c>
      <c r="C36" s="137">
        <v>2025</v>
      </c>
      <c r="D36" s="137">
        <v>2026</v>
      </c>
      <c r="E36" s="137">
        <v>2027</v>
      </c>
      <c r="F36" s="137">
        <v>2028</v>
      </c>
      <c r="G36" s="137">
        <v>2029</v>
      </c>
      <c r="H36" s="137">
        <v>2030</v>
      </c>
      <c r="I36" s="137">
        <v>2031</v>
      </c>
      <c r="J36" s="137">
        <v>2032</v>
      </c>
      <c r="K36" s="137">
        <v>2033</v>
      </c>
      <c r="L36" s="137">
        <v>2034</v>
      </c>
    </row>
    <row r="37" spans="1:12" ht="15.75">
      <c r="A37" s="69" t="s">
        <v>63</v>
      </c>
      <c r="B37" s="77">
        <v>8836</v>
      </c>
      <c r="C37" s="77">
        <v>7385</v>
      </c>
      <c r="D37" s="77">
        <v>4986</v>
      </c>
      <c r="E37" s="77">
        <v>5022</v>
      </c>
      <c r="F37" s="77">
        <v>5027</v>
      </c>
      <c r="G37" s="77">
        <v>4125</v>
      </c>
      <c r="H37" s="77">
        <v>4093</v>
      </c>
      <c r="I37" s="77">
        <v>4099</v>
      </c>
      <c r="J37" s="77">
        <v>4084</v>
      </c>
      <c r="K37" s="77">
        <v>4147</v>
      </c>
      <c r="L37" s="77">
        <v>3489</v>
      </c>
    </row>
    <row r="38" spans="1:12" ht="15.75">
      <c r="A38" s="69" t="s">
        <v>64</v>
      </c>
      <c r="B38" s="77">
        <v>2715</v>
      </c>
      <c r="C38" s="77">
        <v>3774</v>
      </c>
      <c r="D38" s="77">
        <v>2703</v>
      </c>
      <c r="E38" s="77">
        <v>2911</v>
      </c>
      <c r="F38" s="77">
        <v>2932</v>
      </c>
      <c r="G38" s="77">
        <v>2935</v>
      </c>
      <c r="H38" s="77">
        <v>2408</v>
      </c>
      <c r="I38" s="77">
        <v>2390</v>
      </c>
      <c r="J38" s="77">
        <v>2393</v>
      </c>
      <c r="K38" s="77">
        <v>2384</v>
      </c>
      <c r="L38" s="77">
        <v>2421</v>
      </c>
    </row>
    <row r="39" spans="1:12" ht="15.75">
      <c r="A39" s="69" t="s">
        <v>65</v>
      </c>
      <c r="B39" s="77">
        <v>4587</v>
      </c>
      <c r="C39" s="77">
        <v>1869</v>
      </c>
      <c r="D39" s="77">
        <v>1739</v>
      </c>
      <c r="E39" s="77">
        <v>1987</v>
      </c>
      <c r="F39" s="77">
        <v>2140</v>
      </c>
      <c r="G39" s="77">
        <v>2155</v>
      </c>
      <c r="H39" s="77">
        <v>2158</v>
      </c>
      <c r="I39" s="77">
        <v>1771</v>
      </c>
      <c r="J39" s="77">
        <v>1757</v>
      </c>
      <c r="K39" s="77">
        <v>1759</v>
      </c>
      <c r="L39" s="77">
        <v>1753</v>
      </c>
    </row>
    <row r="40" spans="1:12" ht="15.75">
      <c r="A40" s="69" t="s">
        <v>66</v>
      </c>
      <c r="B40" s="77">
        <v>2578</v>
      </c>
      <c r="C40" s="77">
        <v>2132</v>
      </c>
      <c r="D40" s="77">
        <v>1172</v>
      </c>
      <c r="E40" s="77">
        <v>1764</v>
      </c>
      <c r="F40" s="77">
        <v>2017</v>
      </c>
      <c r="G40" s="77">
        <v>2171</v>
      </c>
      <c r="H40" s="77">
        <v>2187</v>
      </c>
      <c r="I40" s="77">
        <v>2189</v>
      </c>
      <c r="J40" s="77">
        <v>1797</v>
      </c>
      <c r="K40" s="77">
        <v>1783</v>
      </c>
      <c r="L40" s="77">
        <v>1785</v>
      </c>
    </row>
    <row r="41" spans="1:12" ht="15.75">
      <c r="A41" s="69" t="s">
        <v>67</v>
      </c>
      <c r="B41" s="77">
        <v>3896</v>
      </c>
      <c r="C41" s="77">
        <v>1037</v>
      </c>
      <c r="D41" s="77">
        <v>540</v>
      </c>
      <c r="E41" s="77">
        <v>513</v>
      </c>
      <c r="F41" s="77">
        <v>772</v>
      </c>
      <c r="G41" s="77">
        <v>883</v>
      </c>
      <c r="H41" s="77">
        <v>950</v>
      </c>
      <c r="I41" s="77">
        <v>957</v>
      </c>
      <c r="J41" s="77">
        <v>958</v>
      </c>
      <c r="K41" s="77">
        <v>786</v>
      </c>
      <c r="L41" s="77">
        <v>780</v>
      </c>
    </row>
    <row r="42" spans="1:12" ht="15.75">
      <c r="A42" s="69" t="s">
        <v>68</v>
      </c>
      <c r="B42" s="77">
        <v>599</v>
      </c>
      <c r="C42" s="77">
        <v>1161</v>
      </c>
      <c r="D42" s="77">
        <v>559</v>
      </c>
      <c r="E42" s="77">
        <v>483</v>
      </c>
      <c r="F42" s="77">
        <v>438</v>
      </c>
      <c r="G42" s="77">
        <v>532</v>
      </c>
      <c r="H42" s="77">
        <v>621</v>
      </c>
      <c r="I42" s="77">
        <v>691</v>
      </c>
      <c r="J42" s="77">
        <v>724</v>
      </c>
      <c r="K42" s="77">
        <v>739</v>
      </c>
      <c r="L42" s="77">
        <v>670</v>
      </c>
    </row>
    <row r="43" spans="1:12" ht="15.75">
      <c r="A43" s="99" t="s">
        <v>71</v>
      </c>
      <c r="B43" s="74">
        <v>23210</v>
      </c>
      <c r="C43" s="74">
        <v>17360</v>
      </c>
      <c r="D43" s="74">
        <v>11698</v>
      </c>
      <c r="E43" s="74">
        <v>12680</v>
      </c>
      <c r="F43" s="74">
        <v>13325</v>
      </c>
      <c r="G43" s="74">
        <v>12801</v>
      </c>
      <c r="H43" s="74">
        <v>12418</v>
      </c>
      <c r="I43" s="74">
        <v>12096</v>
      </c>
      <c r="J43" s="74">
        <v>11713</v>
      </c>
      <c r="K43" s="74">
        <v>11599</v>
      </c>
      <c r="L43" s="74">
        <v>10899</v>
      </c>
    </row>
    <row r="44" spans="1:12" ht="15.75">
      <c r="A44" s="136"/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</row>
    <row r="45" spans="1:12" ht="18">
      <c r="A45" s="75" t="s">
        <v>225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</row>
    <row r="46" spans="1:12" ht="15.75">
      <c r="A46" s="99" t="s">
        <v>62</v>
      </c>
      <c r="B46" s="137">
        <v>2024</v>
      </c>
      <c r="C46" s="137">
        <v>2025</v>
      </c>
      <c r="D46" s="137">
        <v>2026</v>
      </c>
      <c r="E46" s="137">
        <v>2027</v>
      </c>
      <c r="F46" s="137">
        <v>2028</v>
      </c>
      <c r="G46" s="137">
        <v>2029</v>
      </c>
      <c r="H46" s="137">
        <v>2030</v>
      </c>
      <c r="I46" s="137">
        <v>2031</v>
      </c>
      <c r="J46" s="137">
        <v>2032</v>
      </c>
      <c r="K46" s="137">
        <v>2033</v>
      </c>
      <c r="L46" s="137">
        <v>2034</v>
      </c>
    </row>
    <row r="47" spans="1:12" ht="15.75">
      <c r="A47" s="69" t="s">
        <v>63</v>
      </c>
      <c r="B47" s="77">
        <v>133</v>
      </c>
      <c r="C47" s="77">
        <v>111</v>
      </c>
      <c r="D47" s="77">
        <v>83</v>
      </c>
      <c r="E47" s="77">
        <v>84</v>
      </c>
      <c r="F47" s="77">
        <v>84</v>
      </c>
      <c r="G47" s="77">
        <v>69</v>
      </c>
      <c r="H47" s="77">
        <v>68</v>
      </c>
      <c r="I47" s="77">
        <v>68</v>
      </c>
      <c r="J47" s="77">
        <v>68</v>
      </c>
      <c r="K47" s="77">
        <v>69</v>
      </c>
      <c r="L47" s="77">
        <v>58</v>
      </c>
    </row>
    <row r="48" spans="1:12" ht="15.75">
      <c r="A48" s="69" t="s">
        <v>64</v>
      </c>
      <c r="B48" s="77">
        <v>100</v>
      </c>
      <c r="C48" s="77">
        <v>139</v>
      </c>
      <c r="D48" s="77">
        <v>121</v>
      </c>
      <c r="E48" s="77">
        <v>131</v>
      </c>
      <c r="F48" s="77">
        <v>132</v>
      </c>
      <c r="G48" s="77">
        <v>132</v>
      </c>
      <c r="H48" s="77">
        <v>108</v>
      </c>
      <c r="I48" s="77">
        <v>107</v>
      </c>
      <c r="J48" s="77">
        <v>108</v>
      </c>
      <c r="K48" s="77">
        <v>107</v>
      </c>
      <c r="L48" s="77">
        <v>109</v>
      </c>
    </row>
    <row r="49" spans="1:13" ht="15.75">
      <c r="A49" s="69" t="s">
        <v>65</v>
      </c>
      <c r="B49" s="77">
        <v>215</v>
      </c>
      <c r="C49" s="77">
        <v>88</v>
      </c>
      <c r="D49" s="77">
        <v>141</v>
      </c>
      <c r="E49" s="77">
        <v>162</v>
      </c>
      <c r="F49" s="77">
        <v>174</v>
      </c>
      <c r="G49" s="77">
        <v>175</v>
      </c>
      <c r="H49" s="77">
        <v>176</v>
      </c>
      <c r="I49" s="77">
        <v>144</v>
      </c>
      <c r="J49" s="77">
        <v>143</v>
      </c>
      <c r="K49" s="77">
        <v>143</v>
      </c>
      <c r="L49" s="77">
        <v>143</v>
      </c>
    </row>
    <row r="50" spans="1:13" ht="15.75">
      <c r="A50" s="69" t="s">
        <v>66</v>
      </c>
      <c r="B50" s="77">
        <v>149</v>
      </c>
      <c r="C50" s="77">
        <v>124</v>
      </c>
      <c r="D50" s="77">
        <v>123</v>
      </c>
      <c r="E50" s="77">
        <v>185</v>
      </c>
      <c r="F50" s="77">
        <v>211</v>
      </c>
      <c r="G50" s="77">
        <v>227</v>
      </c>
      <c r="H50" s="77">
        <v>229</v>
      </c>
      <c r="I50" s="77">
        <v>229</v>
      </c>
      <c r="J50" s="77">
        <v>188</v>
      </c>
      <c r="K50" s="77">
        <v>187</v>
      </c>
      <c r="L50" s="77">
        <v>187</v>
      </c>
    </row>
    <row r="51" spans="1:13" ht="15.75">
      <c r="A51" s="69" t="s">
        <v>67</v>
      </c>
      <c r="B51" s="77">
        <v>305</v>
      </c>
      <c r="C51" s="77">
        <v>81</v>
      </c>
      <c r="D51" s="77">
        <v>65</v>
      </c>
      <c r="E51" s="77">
        <v>62</v>
      </c>
      <c r="F51" s="77">
        <v>93</v>
      </c>
      <c r="G51" s="77">
        <v>106</v>
      </c>
      <c r="H51" s="77">
        <v>115</v>
      </c>
      <c r="I51" s="77">
        <v>115</v>
      </c>
      <c r="J51" s="77">
        <v>115</v>
      </c>
      <c r="K51" s="77">
        <v>95</v>
      </c>
      <c r="L51" s="77">
        <v>94</v>
      </c>
    </row>
    <row r="52" spans="1:13" ht="15.75">
      <c r="A52" s="69" t="s">
        <v>68</v>
      </c>
      <c r="B52" s="77">
        <v>62</v>
      </c>
      <c r="C52" s="77">
        <v>120</v>
      </c>
      <c r="D52" s="77">
        <v>77</v>
      </c>
      <c r="E52" s="77">
        <v>67</v>
      </c>
      <c r="F52" s="77">
        <v>60</v>
      </c>
      <c r="G52" s="77">
        <v>73</v>
      </c>
      <c r="H52" s="77">
        <v>86</v>
      </c>
      <c r="I52" s="77">
        <v>95</v>
      </c>
      <c r="J52" s="77">
        <v>100</v>
      </c>
      <c r="K52" s="77">
        <v>102</v>
      </c>
      <c r="L52" s="77">
        <v>93</v>
      </c>
    </row>
    <row r="53" spans="1:13" ht="15.75">
      <c r="A53" s="143" t="s">
        <v>71</v>
      </c>
      <c r="B53" s="74">
        <v>965</v>
      </c>
      <c r="C53" s="74">
        <v>663</v>
      </c>
      <c r="D53" s="74">
        <v>611</v>
      </c>
      <c r="E53" s="74">
        <v>690</v>
      </c>
      <c r="F53" s="74">
        <v>754</v>
      </c>
      <c r="G53" s="74">
        <v>783</v>
      </c>
      <c r="H53" s="74">
        <v>782</v>
      </c>
      <c r="I53" s="74">
        <v>760</v>
      </c>
      <c r="J53" s="74">
        <v>722</v>
      </c>
      <c r="K53" s="74">
        <v>703</v>
      </c>
      <c r="L53" s="74">
        <v>683</v>
      </c>
    </row>
    <row r="54" spans="1:13" ht="15.75">
      <c r="A54" s="179" t="s">
        <v>226</v>
      </c>
      <c r="B54" s="144">
        <v>0.311</v>
      </c>
      <c r="C54" s="144">
        <v>0.248</v>
      </c>
      <c r="D54" s="144">
        <v>0.16900000000000001</v>
      </c>
      <c r="E54" s="144">
        <v>0.17299999999999999</v>
      </c>
      <c r="F54" s="144">
        <v>0.17699999999999999</v>
      </c>
      <c r="G54" s="144">
        <v>0.182</v>
      </c>
      <c r="H54" s="144">
        <v>0.187</v>
      </c>
      <c r="I54" s="144">
        <v>0.19</v>
      </c>
      <c r="J54" s="144">
        <v>0.187</v>
      </c>
      <c r="K54" s="144">
        <v>0.185</v>
      </c>
      <c r="L54" s="144">
        <v>0.186</v>
      </c>
      <c r="M54" s="225"/>
    </row>
    <row r="55" spans="1:13">
      <c r="A55" s="108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2"/>
    </row>
    <row r="56" spans="1:13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</row>
    <row r="57" spans="1:13">
      <c r="A57" s="108" t="s">
        <v>47</v>
      </c>
      <c r="B57" s="108"/>
      <c r="C57" s="108"/>
      <c r="D57" s="108"/>
      <c r="E57" s="108"/>
      <c r="F57" s="108"/>
      <c r="G57" s="108"/>
      <c r="H57" s="108"/>
      <c r="I57" s="108"/>
      <c r="J57" s="166"/>
      <c r="K57" s="108"/>
      <c r="L57" s="108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7214-46E0-4433-9940-27D119F03AB7}">
  <dimension ref="A1:M58"/>
  <sheetViews>
    <sheetView topLeftCell="A25" zoomScale="80" zoomScaleNormal="80" workbookViewId="0"/>
  </sheetViews>
  <sheetFormatPr defaultRowHeight="13.5"/>
  <sheetData>
    <row r="1" spans="1:12" ht="15">
      <c r="A1" s="152" t="s">
        <v>227</v>
      </c>
    </row>
    <row r="2" spans="1:12" ht="15">
      <c r="A2" s="56" t="s">
        <v>60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15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1:12" ht="15.75">
      <c r="A4" s="135" t="s">
        <v>61</v>
      </c>
      <c r="B4" s="75"/>
      <c r="C4" s="75"/>
      <c r="D4" s="75"/>
      <c r="E4" s="75"/>
      <c r="F4" s="75"/>
      <c r="G4" s="75"/>
      <c r="H4" s="75"/>
      <c r="I4" s="136"/>
      <c r="J4" s="135"/>
      <c r="K4" s="75"/>
      <c r="L4" s="75"/>
    </row>
    <row r="5" spans="1:12" ht="15.75">
      <c r="A5" s="99" t="s">
        <v>62</v>
      </c>
      <c r="B5" s="137">
        <v>2024</v>
      </c>
      <c r="C5" s="137">
        <v>2025</v>
      </c>
      <c r="D5" s="137">
        <v>2026</v>
      </c>
      <c r="E5" s="137">
        <v>2027</v>
      </c>
      <c r="F5" s="137">
        <v>2028</v>
      </c>
      <c r="G5" s="137">
        <v>2029</v>
      </c>
      <c r="H5" s="137">
        <v>2030</v>
      </c>
      <c r="I5" s="137">
        <v>2031</v>
      </c>
      <c r="J5" s="137">
        <v>2032</v>
      </c>
      <c r="K5" s="137">
        <v>2033</v>
      </c>
      <c r="L5" s="137">
        <v>2034</v>
      </c>
    </row>
    <row r="6" spans="1:12" ht="15.75">
      <c r="A6" s="69" t="s">
        <v>63</v>
      </c>
      <c r="B6" s="138">
        <v>0.28999999999999998</v>
      </c>
      <c r="C6" s="138">
        <v>0.28999999999999998</v>
      </c>
      <c r="D6" s="138">
        <v>0.28999999999999998</v>
      </c>
      <c r="E6" s="138">
        <v>0.28999999999999998</v>
      </c>
      <c r="F6" s="138">
        <v>0.28999999999999998</v>
      </c>
      <c r="G6" s="138">
        <v>0.28999999999999998</v>
      </c>
      <c r="H6" s="138">
        <v>0.28999999999999998</v>
      </c>
      <c r="I6" s="138">
        <v>0.28999999999999998</v>
      </c>
      <c r="J6" s="138">
        <v>0.28999999999999998</v>
      </c>
      <c r="K6" s="138">
        <v>0.28999999999999998</v>
      </c>
      <c r="L6" s="138">
        <v>0.28999999999999998</v>
      </c>
    </row>
    <row r="7" spans="1:12" ht="15.75">
      <c r="A7" s="69" t="s">
        <v>64</v>
      </c>
      <c r="B7" s="138">
        <v>0.23</v>
      </c>
      <c r="C7" s="138">
        <v>0.23</v>
      </c>
      <c r="D7" s="138">
        <v>0.23</v>
      </c>
      <c r="E7" s="138">
        <v>0.23</v>
      </c>
      <c r="F7" s="138">
        <v>0.23</v>
      </c>
      <c r="G7" s="138">
        <v>0.23</v>
      </c>
      <c r="H7" s="138">
        <v>0.23</v>
      </c>
      <c r="I7" s="138">
        <v>0.23</v>
      </c>
      <c r="J7" s="138">
        <v>0.23</v>
      </c>
      <c r="K7" s="138">
        <v>0.23</v>
      </c>
      <c r="L7" s="138">
        <v>0.23</v>
      </c>
    </row>
    <row r="8" spans="1:12" ht="15.75">
      <c r="A8" s="69" t="s">
        <v>65</v>
      </c>
      <c r="B8" s="138">
        <v>0.52</v>
      </c>
      <c r="C8" s="138">
        <v>0.52</v>
      </c>
      <c r="D8" s="138">
        <v>0.52</v>
      </c>
      <c r="E8" s="138">
        <v>0.52</v>
      </c>
      <c r="F8" s="138">
        <v>0.52</v>
      </c>
      <c r="G8" s="138">
        <v>0.52</v>
      </c>
      <c r="H8" s="138">
        <v>0.52</v>
      </c>
      <c r="I8" s="138">
        <v>0.52</v>
      </c>
      <c r="J8" s="138">
        <v>0.52</v>
      </c>
      <c r="K8" s="138">
        <v>0.52</v>
      </c>
      <c r="L8" s="138">
        <v>0.52</v>
      </c>
    </row>
    <row r="9" spans="1:12" ht="15.75">
      <c r="A9" s="69" t="s">
        <v>66</v>
      </c>
      <c r="B9" s="138">
        <v>0.57999999999999996</v>
      </c>
      <c r="C9" s="138">
        <v>0.57999999999999996</v>
      </c>
      <c r="D9" s="138">
        <v>0.57999999999999996</v>
      </c>
      <c r="E9" s="138">
        <v>0.57999999999999996</v>
      </c>
      <c r="F9" s="138">
        <v>0.57999999999999996</v>
      </c>
      <c r="G9" s="138">
        <v>0.57999999999999996</v>
      </c>
      <c r="H9" s="138">
        <v>0.57999999999999996</v>
      </c>
      <c r="I9" s="138">
        <v>0.57999999999999996</v>
      </c>
      <c r="J9" s="138">
        <v>0.57999999999999996</v>
      </c>
      <c r="K9" s="138">
        <v>0.57999999999999996</v>
      </c>
      <c r="L9" s="138">
        <v>0.57999999999999996</v>
      </c>
    </row>
    <row r="10" spans="1:12" ht="15.75">
      <c r="A10" s="69" t="s">
        <v>67</v>
      </c>
      <c r="B10" s="138">
        <v>0.8</v>
      </c>
      <c r="C10" s="138">
        <v>0.8</v>
      </c>
      <c r="D10" s="138">
        <v>0.8</v>
      </c>
      <c r="E10" s="138">
        <v>0.8</v>
      </c>
      <c r="F10" s="138">
        <v>0.8</v>
      </c>
      <c r="G10" s="138">
        <v>0.8</v>
      </c>
      <c r="H10" s="138">
        <v>0.8</v>
      </c>
      <c r="I10" s="138">
        <v>0.8</v>
      </c>
      <c r="J10" s="138">
        <v>0.8</v>
      </c>
      <c r="K10" s="138">
        <v>0.8</v>
      </c>
      <c r="L10" s="138">
        <v>0.8</v>
      </c>
    </row>
    <row r="11" spans="1:12" ht="15.75">
      <c r="A11" s="69" t="s">
        <v>68</v>
      </c>
      <c r="B11" s="138">
        <v>0.8</v>
      </c>
      <c r="C11" s="138">
        <v>0.8</v>
      </c>
      <c r="D11" s="138">
        <v>0.8</v>
      </c>
      <c r="E11" s="138">
        <v>0.8</v>
      </c>
      <c r="F11" s="138">
        <v>0.8</v>
      </c>
      <c r="G11" s="138">
        <v>0.8</v>
      </c>
      <c r="H11" s="138">
        <v>0.8</v>
      </c>
      <c r="I11" s="138">
        <v>0.8</v>
      </c>
      <c r="J11" s="138">
        <v>0.8</v>
      </c>
      <c r="K11" s="138">
        <v>0.8</v>
      </c>
      <c r="L11" s="138">
        <v>0.8</v>
      </c>
    </row>
    <row r="12" spans="1:12" ht="15.75">
      <c r="A12" s="72" t="s">
        <v>69</v>
      </c>
      <c r="B12" s="139">
        <v>0.54</v>
      </c>
      <c r="C12" s="139">
        <v>0.54</v>
      </c>
      <c r="D12" s="139">
        <v>0.54</v>
      </c>
      <c r="E12" s="139">
        <v>0.54</v>
      </c>
      <c r="F12" s="139">
        <v>0.54</v>
      </c>
      <c r="G12" s="139">
        <v>0.54</v>
      </c>
      <c r="H12" s="139">
        <v>0.54</v>
      </c>
      <c r="I12" s="139">
        <v>0.54</v>
      </c>
      <c r="J12" s="139">
        <v>0.54</v>
      </c>
      <c r="K12" s="139">
        <v>0.54</v>
      </c>
      <c r="L12" s="139">
        <v>0.54</v>
      </c>
    </row>
    <row r="13" spans="1:12" ht="15.75">
      <c r="A13" s="136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</row>
    <row r="14" spans="1:12" ht="18">
      <c r="A14" s="140" t="s">
        <v>70</v>
      </c>
      <c r="B14" s="75"/>
      <c r="C14" s="75"/>
      <c r="D14" s="75"/>
      <c r="E14" s="75"/>
      <c r="F14" s="75"/>
      <c r="G14" s="75"/>
      <c r="H14" s="75"/>
      <c r="I14" s="136"/>
      <c r="J14" s="140"/>
      <c r="K14" s="75"/>
      <c r="L14" s="75"/>
    </row>
    <row r="15" spans="1:12" ht="15.75">
      <c r="A15" s="99" t="s">
        <v>62</v>
      </c>
      <c r="B15" s="137">
        <v>2024</v>
      </c>
      <c r="C15" s="137">
        <v>2025</v>
      </c>
      <c r="D15" s="137">
        <v>2026</v>
      </c>
      <c r="E15" s="137">
        <v>2027</v>
      </c>
      <c r="F15" s="137">
        <v>2028</v>
      </c>
      <c r="G15" s="137">
        <v>2029</v>
      </c>
      <c r="H15" s="137">
        <v>2030</v>
      </c>
      <c r="I15" s="137">
        <v>2031</v>
      </c>
      <c r="J15" s="137">
        <v>2032</v>
      </c>
      <c r="K15" s="137">
        <v>2033</v>
      </c>
      <c r="L15" s="137">
        <v>2034</v>
      </c>
    </row>
    <row r="16" spans="1:12" ht="15.75">
      <c r="A16" s="69" t="s">
        <v>63</v>
      </c>
      <c r="B16" s="95">
        <v>43111</v>
      </c>
      <c r="C16" s="95">
        <v>43029</v>
      </c>
      <c r="D16" s="95">
        <v>42710</v>
      </c>
      <c r="E16" s="95">
        <v>43017</v>
      </c>
      <c r="F16" s="95">
        <v>43062</v>
      </c>
      <c r="G16" s="95">
        <v>35337</v>
      </c>
      <c r="H16" s="95">
        <v>35063</v>
      </c>
      <c r="I16" s="95">
        <v>35113</v>
      </c>
      <c r="J16" s="95">
        <v>34984</v>
      </c>
      <c r="K16" s="95">
        <v>35521</v>
      </c>
      <c r="L16" s="95">
        <v>29881</v>
      </c>
    </row>
    <row r="17" spans="1:12" ht="15.75">
      <c r="A17" s="69" t="s">
        <v>64</v>
      </c>
      <c r="B17" s="95">
        <v>15946</v>
      </c>
      <c r="C17" s="95">
        <v>21664</v>
      </c>
      <c r="D17" s="95">
        <v>21623</v>
      </c>
      <c r="E17" s="95">
        <v>21463</v>
      </c>
      <c r="F17" s="95">
        <v>21617</v>
      </c>
      <c r="G17" s="95">
        <v>21640</v>
      </c>
      <c r="H17" s="95">
        <v>17757</v>
      </c>
      <c r="I17" s="95">
        <v>17620</v>
      </c>
      <c r="J17" s="95">
        <v>17645</v>
      </c>
      <c r="K17" s="95">
        <v>17580</v>
      </c>
      <c r="L17" s="95">
        <v>17850</v>
      </c>
    </row>
    <row r="18" spans="1:12" ht="15.75">
      <c r="A18" s="69" t="s">
        <v>65</v>
      </c>
      <c r="B18" s="95">
        <v>13749</v>
      </c>
      <c r="C18" s="95">
        <v>8466</v>
      </c>
      <c r="D18" s="95">
        <v>11502</v>
      </c>
      <c r="E18" s="95">
        <v>11480</v>
      </c>
      <c r="F18" s="95">
        <v>11395</v>
      </c>
      <c r="G18" s="95">
        <v>11477</v>
      </c>
      <c r="H18" s="95">
        <v>11489</v>
      </c>
      <c r="I18" s="95">
        <v>9428</v>
      </c>
      <c r="J18" s="95">
        <v>9355</v>
      </c>
      <c r="K18" s="95">
        <v>9368</v>
      </c>
      <c r="L18" s="95">
        <v>9334</v>
      </c>
    </row>
    <row r="19" spans="1:12" ht="15.75">
      <c r="A19" s="69" t="s">
        <v>66</v>
      </c>
      <c r="B19" s="95">
        <v>7123</v>
      </c>
      <c r="C19" s="95">
        <v>5460</v>
      </c>
      <c r="D19" s="95">
        <v>3362</v>
      </c>
      <c r="E19" s="95">
        <v>4568</v>
      </c>
      <c r="F19" s="95">
        <v>4560</v>
      </c>
      <c r="G19" s="95">
        <v>4526</v>
      </c>
      <c r="H19" s="95">
        <v>4558</v>
      </c>
      <c r="I19" s="95">
        <v>4563</v>
      </c>
      <c r="J19" s="95">
        <v>3744</v>
      </c>
      <c r="K19" s="95">
        <v>3715</v>
      </c>
      <c r="L19" s="95">
        <v>3721</v>
      </c>
    </row>
    <row r="20" spans="1:12" ht="15.75">
      <c r="A20" s="69" t="s">
        <v>67</v>
      </c>
      <c r="B20" s="95">
        <v>8614</v>
      </c>
      <c r="C20" s="95">
        <v>2663</v>
      </c>
      <c r="D20" s="95">
        <v>2042</v>
      </c>
      <c r="E20" s="95">
        <v>1257</v>
      </c>
      <c r="F20" s="95">
        <v>1708</v>
      </c>
      <c r="G20" s="95">
        <v>1705</v>
      </c>
      <c r="H20" s="95">
        <v>1692</v>
      </c>
      <c r="I20" s="95">
        <v>1704</v>
      </c>
      <c r="J20" s="95">
        <v>1706</v>
      </c>
      <c r="K20" s="95">
        <v>1400</v>
      </c>
      <c r="L20" s="95">
        <v>1389</v>
      </c>
    </row>
    <row r="21" spans="1:12" ht="15.75">
      <c r="A21" s="69" t="s">
        <v>68</v>
      </c>
      <c r="B21" s="95">
        <v>1324</v>
      </c>
      <c r="C21" s="95">
        <v>2982</v>
      </c>
      <c r="D21" s="95">
        <v>1694</v>
      </c>
      <c r="E21" s="95">
        <v>1121</v>
      </c>
      <c r="F21" s="95">
        <v>713</v>
      </c>
      <c r="G21" s="95">
        <v>727</v>
      </c>
      <c r="H21" s="95">
        <v>730</v>
      </c>
      <c r="I21" s="95">
        <v>727</v>
      </c>
      <c r="J21" s="95">
        <v>729</v>
      </c>
      <c r="K21" s="95">
        <v>731</v>
      </c>
      <c r="L21" s="95">
        <v>639</v>
      </c>
    </row>
    <row r="22" spans="1:12" ht="15.75">
      <c r="A22" s="99" t="s">
        <v>71</v>
      </c>
      <c r="B22" s="74">
        <v>89867</v>
      </c>
      <c r="C22" s="74">
        <v>84264</v>
      </c>
      <c r="D22" s="74">
        <v>82933</v>
      </c>
      <c r="E22" s="74">
        <v>82906</v>
      </c>
      <c r="F22" s="74">
        <v>83055</v>
      </c>
      <c r="G22" s="74">
        <v>75412</v>
      </c>
      <c r="H22" s="74">
        <v>71289</v>
      </c>
      <c r="I22" s="74">
        <v>69155</v>
      </c>
      <c r="J22" s="74">
        <v>68163</v>
      </c>
      <c r="K22" s="74">
        <v>68315</v>
      </c>
      <c r="L22" s="74">
        <v>62814</v>
      </c>
    </row>
    <row r="23" spans="1:12" ht="15.75">
      <c r="A23" s="136"/>
      <c r="B23" s="141"/>
      <c r="C23" s="141"/>
      <c r="D23" s="141"/>
      <c r="E23" s="141"/>
      <c r="F23" s="141"/>
      <c r="G23" s="141"/>
      <c r="H23" s="141"/>
      <c r="I23" s="136"/>
      <c r="J23" s="136"/>
      <c r="K23" s="141"/>
      <c r="L23" s="141"/>
    </row>
    <row r="24" spans="1:12" ht="18">
      <c r="A24" s="140" t="s">
        <v>72</v>
      </c>
      <c r="B24" s="141"/>
      <c r="C24" s="141"/>
      <c r="D24" s="141"/>
      <c r="E24" s="141"/>
      <c r="F24" s="141"/>
      <c r="G24" s="141"/>
      <c r="H24" s="141"/>
      <c r="I24" s="136"/>
      <c r="J24" s="140"/>
      <c r="K24" s="141"/>
      <c r="L24" s="141"/>
    </row>
    <row r="25" spans="1:12" ht="15.75">
      <c r="A25" s="99" t="s">
        <v>62</v>
      </c>
      <c r="B25" s="137">
        <v>2024</v>
      </c>
      <c r="C25" s="137">
        <v>2025</v>
      </c>
      <c r="D25" s="137">
        <v>2026</v>
      </c>
      <c r="E25" s="137">
        <v>2027</v>
      </c>
      <c r="F25" s="137">
        <v>2028</v>
      </c>
      <c r="G25" s="137">
        <v>2029</v>
      </c>
      <c r="H25" s="137">
        <v>2030</v>
      </c>
      <c r="I25" s="137">
        <v>2031</v>
      </c>
      <c r="J25" s="137">
        <v>2032</v>
      </c>
      <c r="K25" s="137">
        <v>2033</v>
      </c>
      <c r="L25" s="137">
        <v>2034</v>
      </c>
    </row>
    <row r="26" spans="1:12" ht="15.75">
      <c r="A26" s="69" t="s">
        <v>63</v>
      </c>
      <c r="B26" s="95">
        <v>649</v>
      </c>
      <c r="C26" s="95">
        <v>648</v>
      </c>
      <c r="D26" s="95">
        <v>713</v>
      </c>
      <c r="E26" s="95">
        <v>718</v>
      </c>
      <c r="F26" s="95">
        <v>719</v>
      </c>
      <c r="G26" s="95">
        <v>590</v>
      </c>
      <c r="H26" s="95">
        <v>585</v>
      </c>
      <c r="I26" s="95">
        <v>586</v>
      </c>
      <c r="J26" s="95">
        <v>584</v>
      </c>
      <c r="K26" s="95">
        <v>593</v>
      </c>
      <c r="L26" s="95">
        <v>499</v>
      </c>
    </row>
    <row r="27" spans="1:12" ht="15.75">
      <c r="A27" s="69" t="s">
        <v>64</v>
      </c>
      <c r="B27" s="95">
        <v>589</v>
      </c>
      <c r="C27" s="95">
        <v>800</v>
      </c>
      <c r="D27" s="95">
        <v>971</v>
      </c>
      <c r="E27" s="95">
        <v>964</v>
      </c>
      <c r="F27" s="95">
        <v>971</v>
      </c>
      <c r="G27" s="95">
        <v>972</v>
      </c>
      <c r="H27" s="95">
        <v>798</v>
      </c>
      <c r="I27" s="95">
        <v>792</v>
      </c>
      <c r="J27" s="95">
        <v>793</v>
      </c>
      <c r="K27" s="95">
        <v>790</v>
      </c>
      <c r="L27" s="95">
        <v>802</v>
      </c>
    </row>
    <row r="28" spans="1:12" ht="15.75">
      <c r="A28" s="69" t="s">
        <v>65</v>
      </c>
      <c r="B28" s="95">
        <v>646</v>
      </c>
      <c r="C28" s="95">
        <v>398</v>
      </c>
      <c r="D28" s="95">
        <v>936</v>
      </c>
      <c r="E28" s="95">
        <v>934</v>
      </c>
      <c r="F28" s="95">
        <v>927</v>
      </c>
      <c r="G28" s="95">
        <v>934</v>
      </c>
      <c r="H28" s="95">
        <v>935</v>
      </c>
      <c r="I28" s="95">
        <v>767</v>
      </c>
      <c r="J28" s="95">
        <v>761</v>
      </c>
      <c r="K28" s="95">
        <v>762</v>
      </c>
      <c r="L28" s="95">
        <v>760</v>
      </c>
    </row>
    <row r="29" spans="1:12" ht="15.75">
      <c r="A29" s="69" t="s">
        <v>66</v>
      </c>
      <c r="B29" s="95">
        <v>413</v>
      </c>
      <c r="C29" s="95">
        <v>316</v>
      </c>
      <c r="D29" s="95">
        <v>352</v>
      </c>
      <c r="E29" s="95">
        <v>479</v>
      </c>
      <c r="F29" s="95">
        <v>478</v>
      </c>
      <c r="G29" s="95">
        <v>474</v>
      </c>
      <c r="H29" s="95">
        <v>478</v>
      </c>
      <c r="I29" s="95">
        <v>478</v>
      </c>
      <c r="J29" s="95">
        <v>392</v>
      </c>
      <c r="K29" s="95">
        <v>389</v>
      </c>
      <c r="L29" s="95">
        <v>390</v>
      </c>
    </row>
    <row r="30" spans="1:12" ht="15.75">
      <c r="A30" s="69" t="s">
        <v>67</v>
      </c>
      <c r="B30" s="95">
        <v>674</v>
      </c>
      <c r="C30" s="95">
        <v>208</v>
      </c>
      <c r="D30" s="95">
        <v>246</v>
      </c>
      <c r="E30" s="95">
        <v>152</v>
      </c>
      <c r="F30" s="95">
        <v>206</v>
      </c>
      <c r="G30" s="95">
        <v>206</v>
      </c>
      <c r="H30" s="95">
        <v>204</v>
      </c>
      <c r="I30" s="95">
        <v>205</v>
      </c>
      <c r="J30" s="95">
        <v>206</v>
      </c>
      <c r="K30" s="95">
        <v>169</v>
      </c>
      <c r="L30" s="95">
        <v>167</v>
      </c>
    </row>
    <row r="31" spans="1:12" ht="15.75">
      <c r="A31" s="69" t="s">
        <v>68</v>
      </c>
      <c r="B31" s="95">
        <v>136</v>
      </c>
      <c r="C31" s="95">
        <v>307</v>
      </c>
      <c r="D31" s="95">
        <v>234</v>
      </c>
      <c r="E31" s="95">
        <v>155</v>
      </c>
      <c r="F31" s="95">
        <v>99</v>
      </c>
      <c r="G31" s="95">
        <v>100</v>
      </c>
      <c r="H31" s="95">
        <v>101</v>
      </c>
      <c r="I31" s="95">
        <v>100</v>
      </c>
      <c r="J31" s="95">
        <v>101</v>
      </c>
      <c r="K31" s="95">
        <v>101</v>
      </c>
      <c r="L31" s="95">
        <v>88</v>
      </c>
    </row>
    <row r="32" spans="1:12" ht="15.75">
      <c r="A32" s="99" t="s">
        <v>71</v>
      </c>
      <c r="B32" s="74">
        <v>3107</v>
      </c>
      <c r="C32" s="74">
        <v>2678</v>
      </c>
      <c r="D32" s="74">
        <v>3452</v>
      </c>
      <c r="E32" s="74">
        <v>3401</v>
      </c>
      <c r="F32" s="74">
        <v>3399</v>
      </c>
      <c r="G32" s="74">
        <v>3276</v>
      </c>
      <c r="H32" s="74">
        <v>3100</v>
      </c>
      <c r="I32" s="74">
        <v>2929</v>
      </c>
      <c r="J32" s="74">
        <v>2836</v>
      </c>
      <c r="K32" s="74">
        <v>2804</v>
      </c>
      <c r="L32" s="74">
        <v>2706</v>
      </c>
    </row>
    <row r="33" spans="1:12" ht="15.75">
      <c r="A33" s="142" t="s">
        <v>73</v>
      </c>
      <c r="B33" s="74">
        <v>1987</v>
      </c>
      <c r="C33" s="74">
        <v>1390</v>
      </c>
      <c r="D33" s="74">
        <v>1963</v>
      </c>
      <c r="E33" s="74">
        <v>1912</v>
      </c>
      <c r="F33" s="74">
        <v>1904</v>
      </c>
      <c r="G33" s="74">
        <v>1908</v>
      </c>
      <c r="H33" s="74">
        <v>1877</v>
      </c>
      <c r="I33" s="74">
        <v>1709</v>
      </c>
      <c r="J33" s="74">
        <v>1619</v>
      </c>
      <c r="K33" s="74">
        <v>1579</v>
      </c>
      <c r="L33" s="74">
        <v>1566</v>
      </c>
    </row>
    <row r="34" spans="1:12" ht="15.75">
      <c r="A34" s="141"/>
      <c r="B34" s="141"/>
      <c r="C34" s="141"/>
      <c r="D34" s="141"/>
      <c r="E34" s="141"/>
      <c r="F34" s="141"/>
      <c r="G34" s="141"/>
      <c r="H34" s="141"/>
      <c r="I34" s="136"/>
      <c r="J34" s="141"/>
      <c r="K34" s="141"/>
      <c r="L34" s="141"/>
    </row>
    <row r="35" spans="1:12" ht="18">
      <c r="A35" s="135" t="s">
        <v>74</v>
      </c>
      <c r="B35" s="141"/>
      <c r="C35" s="141"/>
      <c r="D35" s="141"/>
      <c r="E35" s="141"/>
      <c r="F35" s="141"/>
      <c r="G35" s="141"/>
      <c r="H35" s="141"/>
      <c r="I35" s="136"/>
      <c r="J35" s="135"/>
      <c r="K35" s="141"/>
      <c r="L35" s="141"/>
    </row>
    <row r="36" spans="1:12" ht="15.75">
      <c r="A36" s="99" t="s">
        <v>62</v>
      </c>
      <c r="B36" s="137">
        <v>2024</v>
      </c>
      <c r="C36" s="137">
        <v>2025</v>
      </c>
      <c r="D36" s="137">
        <v>2026</v>
      </c>
      <c r="E36" s="137">
        <v>2027</v>
      </c>
      <c r="F36" s="137">
        <v>2028</v>
      </c>
      <c r="G36" s="137">
        <v>2029</v>
      </c>
      <c r="H36" s="137">
        <v>2030</v>
      </c>
      <c r="I36" s="137">
        <v>2031</v>
      </c>
      <c r="J36" s="137">
        <v>2032</v>
      </c>
      <c r="K36" s="137">
        <v>2033</v>
      </c>
      <c r="L36" s="137">
        <v>2034</v>
      </c>
    </row>
    <row r="37" spans="1:12" ht="15.75">
      <c r="A37" s="69" t="s">
        <v>63</v>
      </c>
      <c r="B37" s="77">
        <v>8836</v>
      </c>
      <c r="C37" s="77">
        <v>8819</v>
      </c>
      <c r="D37" s="77">
        <v>8753</v>
      </c>
      <c r="E37" s="77">
        <v>8816</v>
      </c>
      <c r="F37" s="77">
        <v>8826</v>
      </c>
      <c r="G37" s="77">
        <v>7242</v>
      </c>
      <c r="H37" s="77">
        <v>7186</v>
      </c>
      <c r="I37" s="77">
        <v>7196</v>
      </c>
      <c r="J37" s="77">
        <v>7170</v>
      </c>
      <c r="K37" s="77">
        <v>7280</v>
      </c>
      <c r="L37" s="77">
        <v>6124</v>
      </c>
    </row>
    <row r="38" spans="1:12" ht="15.75">
      <c r="A38" s="69" t="s">
        <v>64</v>
      </c>
      <c r="B38" s="77">
        <v>2715</v>
      </c>
      <c r="C38" s="77">
        <v>3688</v>
      </c>
      <c r="D38" s="77">
        <v>3681</v>
      </c>
      <c r="E38" s="77">
        <v>3654</v>
      </c>
      <c r="F38" s="77">
        <v>3680</v>
      </c>
      <c r="G38" s="77">
        <v>3684</v>
      </c>
      <c r="H38" s="77">
        <v>3023</v>
      </c>
      <c r="I38" s="77">
        <v>3000</v>
      </c>
      <c r="J38" s="77">
        <v>3004</v>
      </c>
      <c r="K38" s="77">
        <v>2993</v>
      </c>
      <c r="L38" s="77">
        <v>3039</v>
      </c>
    </row>
    <row r="39" spans="1:12" ht="15.75">
      <c r="A39" s="69" t="s">
        <v>65</v>
      </c>
      <c r="B39" s="77">
        <v>4587</v>
      </c>
      <c r="C39" s="77">
        <v>2825</v>
      </c>
      <c r="D39" s="77">
        <v>3837</v>
      </c>
      <c r="E39" s="77">
        <v>3830</v>
      </c>
      <c r="F39" s="77">
        <v>3802</v>
      </c>
      <c r="G39" s="77">
        <v>3829</v>
      </c>
      <c r="H39" s="77">
        <v>3833</v>
      </c>
      <c r="I39" s="77">
        <v>3145</v>
      </c>
      <c r="J39" s="77">
        <v>3121</v>
      </c>
      <c r="K39" s="77">
        <v>3126</v>
      </c>
      <c r="L39" s="77">
        <v>3114</v>
      </c>
    </row>
    <row r="40" spans="1:12" ht="15.75">
      <c r="A40" s="69" t="s">
        <v>66</v>
      </c>
      <c r="B40" s="77">
        <v>2578</v>
      </c>
      <c r="C40" s="77">
        <v>1977</v>
      </c>
      <c r="D40" s="77">
        <v>1217</v>
      </c>
      <c r="E40" s="77">
        <v>1654</v>
      </c>
      <c r="F40" s="77">
        <v>1651</v>
      </c>
      <c r="G40" s="77">
        <v>1638</v>
      </c>
      <c r="H40" s="77">
        <v>1650</v>
      </c>
      <c r="I40" s="77">
        <v>1652</v>
      </c>
      <c r="J40" s="77">
        <v>1356</v>
      </c>
      <c r="K40" s="77">
        <v>1345</v>
      </c>
      <c r="L40" s="77">
        <v>1347</v>
      </c>
    </row>
    <row r="41" spans="1:12" ht="15.75">
      <c r="A41" s="69" t="s">
        <v>67</v>
      </c>
      <c r="B41" s="77">
        <v>3896</v>
      </c>
      <c r="C41" s="77">
        <v>1205</v>
      </c>
      <c r="D41" s="77">
        <v>923</v>
      </c>
      <c r="E41" s="77">
        <v>569</v>
      </c>
      <c r="F41" s="77">
        <v>773</v>
      </c>
      <c r="G41" s="77">
        <v>771</v>
      </c>
      <c r="H41" s="77">
        <v>765</v>
      </c>
      <c r="I41" s="77">
        <v>771</v>
      </c>
      <c r="J41" s="77">
        <v>772</v>
      </c>
      <c r="K41" s="77">
        <v>633</v>
      </c>
      <c r="L41" s="77">
        <v>628</v>
      </c>
    </row>
    <row r="42" spans="1:12" ht="15.75">
      <c r="A42" s="69" t="s">
        <v>68</v>
      </c>
      <c r="B42" s="77">
        <v>599</v>
      </c>
      <c r="C42" s="77">
        <v>1348</v>
      </c>
      <c r="D42" s="77">
        <v>766</v>
      </c>
      <c r="E42" s="77">
        <v>507</v>
      </c>
      <c r="F42" s="77">
        <v>323</v>
      </c>
      <c r="G42" s="77">
        <v>329</v>
      </c>
      <c r="H42" s="77">
        <v>330</v>
      </c>
      <c r="I42" s="77">
        <v>329</v>
      </c>
      <c r="J42" s="77">
        <v>330</v>
      </c>
      <c r="K42" s="77">
        <v>331</v>
      </c>
      <c r="L42" s="77">
        <v>289</v>
      </c>
    </row>
    <row r="43" spans="1:12" ht="15.75">
      <c r="A43" s="99" t="s">
        <v>71</v>
      </c>
      <c r="B43" s="74">
        <v>23210</v>
      </c>
      <c r="C43" s="74">
        <v>19862</v>
      </c>
      <c r="D43" s="74">
        <v>19179</v>
      </c>
      <c r="E43" s="74">
        <v>19030</v>
      </c>
      <c r="F43" s="74">
        <v>19054</v>
      </c>
      <c r="G43" s="74">
        <v>17494</v>
      </c>
      <c r="H43" s="74">
        <v>16788</v>
      </c>
      <c r="I43" s="74">
        <v>16093</v>
      </c>
      <c r="J43" s="74">
        <v>15752</v>
      </c>
      <c r="K43" s="74">
        <v>15708</v>
      </c>
      <c r="L43" s="74">
        <v>14542</v>
      </c>
    </row>
    <row r="44" spans="1:12" ht="15.75">
      <c r="A44" s="136"/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</row>
    <row r="45" spans="1:12" ht="18">
      <c r="A45" s="140" t="s">
        <v>75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</row>
    <row r="46" spans="1:12" ht="15.75">
      <c r="A46" s="99" t="s">
        <v>62</v>
      </c>
      <c r="B46" s="137">
        <v>2024</v>
      </c>
      <c r="C46" s="137">
        <v>2025</v>
      </c>
      <c r="D46" s="137">
        <v>2026</v>
      </c>
      <c r="E46" s="137">
        <v>2027</v>
      </c>
      <c r="F46" s="137">
        <v>2028</v>
      </c>
      <c r="G46" s="137">
        <v>2029</v>
      </c>
      <c r="H46" s="137">
        <v>2030</v>
      </c>
      <c r="I46" s="137">
        <v>2031</v>
      </c>
      <c r="J46" s="137">
        <v>2032</v>
      </c>
      <c r="K46" s="137">
        <v>2033</v>
      </c>
      <c r="L46" s="137">
        <v>2034</v>
      </c>
    </row>
    <row r="47" spans="1:12" ht="15.75">
      <c r="A47" s="69" t="s">
        <v>63</v>
      </c>
      <c r="B47" s="77">
        <v>133</v>
      </c>
      <c r="C47" s="77">
        <v>133</v>
      </c>
      <c r="D47" s="77">
        <v>146</v>
      </c>
      <c r="E47" s="77">
        <v>147</v>
      </c>
      <c r="F47" s="77">
        <v>147</v>
      </c>
      <c r="G47" s="77">
        <v>121</v>
      </c>
      <c r="H47" s="77">
        <v>120</v>
      </c>
      <c r="I47" s="77">
        <v>120</v>
      </c>
      <c r="J47" s="77">
        <v>120</v>
      </c>
      <c r="K47" s="77">
        <v>121</v>
      </c>
      <c r="L47" s="77">
        <v>102</v>
      </c>
    </row>
    <row r="48" spans="1:12" ht="15.75">
      <c r="A48" s="69" t="s">
        <v>64</v>
      </c>
      <c r="B48" s="77">
        <v>100</v>
      </c>
      <c r="C48" s="77">
        <v>136</v>
      </c>
      <c r="D48" s="77">
        <v>165</v>
      </c>
      <c r="E48" s="77">
        <v>164</v>
      </c>
      <c r="F48" s="77">
        <v>165</v>
      </c>
      <c r="G48" s="77">
        <v>166</v>
      </c>
      <c r="H48" s="77">
        <v>136</v>
      </c>
      <c r="I48" s="77">
        <v>135</v>
      </c>
      <c r="J48" s="77">
        <v>135</v>
      </c>
      <c r="K48" s="77">
        <v>134</v>
      </c>
      <c r="L48" s="77">
        <v>137</v>
      </c>
    </row>
    <row r="49" spans="1:13" ht="15.75">
      <c r="A49" s="69" t="s">
        <v>65</v>
      </c>
      <c r="B49" s="77">
        <v>215</v>
      </c>
      <c r="C49" s="77">
        <v>133</v>
      </c>
      <c r="D49" s="77">
        <v>312</v>
      </c>
      <c r="E49" s="77">
        <v>312</v>
      </c>
      <c r="F49" s="77">
        <v>309</v>
      </c>
      <c r="G49" s="77">
        <v>312</v>
      </c>
      <c r="H49" s="77">
        <v>312</v>
      </c>
      <c r="I49" s="77">
        <v>256</v>
      </c>
      <c r="J49" s="77">
        <v>254</v>
      </c>
      <c r="K49" s="77">
        <v>254</v>
      </c>
      <c r="L49" s="77">
        <v>253</v>
      </c>
    </row>
    <row r="50" spans="1:13" ht="15.75">
      <c r="A50" s="69" t="s">
        <v>66</v>
      </c>
      <c r="B50" s="77">
        <v>149</v>
      </c>
      <c r="C50" s="77">
        <v>115</v>
      </c>
      <c r="D50" s="77">
        <v>128</v>
      </c>
      <c r="E50" s="77">
        <v>173</v>
      </c>
      <c r="F50" s="77">
        <v>173</v>
      </c>
      <c r="G50" s="77">
        <v>172</v>
      </c>
      <c r="H50" s="77">
        <v>173</v>
      </c>
      <c r="I50" s="77">
        <v>173</v>
      </c>
      <c r="J50" s="77">
        <v>142</v>
      </c>
      <c r="K50" s="77">
        <v>141</v>
      </c>
      <c r="L50" s="77">
        <v>141</v>
      </c>
    </row>
    <row r="51" spans="1:13" ht="15.75">
      <c r="A51" s="69" t="s">
        <v>67</v>
      </c>
      <c r="B51" s="77">
        <v>305</v>
      </c>
      <c r="C51" s="77">
        <v>94</v>
      </c>
      <c r="D51" s="77">
        <v>111</v>
      </c>
      <c r="E51" s="77">
        <v>69</v>
      </c>
      <c r="F51" s="77">
        <v>93</v>
      </c>
      <c r="G51" s="77">
        <v>93</v>
      </c>
      <c r="H51" s="77">
        <v>92</v>
      </c>
      <c r="I51" s="77">
        <v>93</v>
      </c>
      <c r="J51" s="77">
        <v>93</v>
      </c>
      <c r="K51" s="77">
        <v>76</v>
      </c>
      <c r="L51" s="77">
        <v>76</v>
      </c>
    </row>
    <row r="52" spans="1:13" ht="15.75">
      <c r="A52" s="69" t="s">
        <v>68</v>
      </c>
      <c r="B52" s="77">
        <v>62</v>
      </c>
      <c r="C52" s="77">
        <v>139</v>
      </c>
      <c r="D52" s="77">
        <v>106</v>
      </c>
      <c r="E52" s="77">
        <v>70</v>
      </c>
      <c r="F52" s="77">
        <v>45</v>
      </c>
      <c r="G52" s="77">
        <v>45</v>
      </c>
      <c r="H52" s="77">
        <v>46</v>
      </c>
      <c r="I52" s="77">
        <v>45</v>
      </c>
      <c r="J52" s="77">
        <v>46</v>
      </c>
      <c r="K52" s="77">
        <v>46</v>
      </c>
      <c r="L52" s="77">
        <v>40</v>
      </c>
    </row>
    <row r="53" spans="1:13" ht="15.75">
      <c r="A53" s="143" t="s">
        <v>71</v>
      </c>
      <c r="B53" s="74">
        <v>965</v>
      </c>
      <c r="C53" s="74">
        <v>749</v>
      </c>
      <c r="D53" s="74">
        <v>968</v>
      </c>
      <c r="E53" s="74">
        <v>935</v>
      </c>
      <c r="F53" s="74">
        <v>933</v>
      </c>
      <c r="G53" s="74">
        <v>908</v>
      </c>
      <c r="H53" s="74">
        <v>878</v>
      </c>
      <c r="I53" s="74">
        <v>822</v>
      </c>
      <c r="J53" s="74">
        <v>789</v>
      </c>
      <c r="K53" s="74">
        <v>773</v>
      </c>
      <c r="L53" s="74">
        <v>749</v>
      </c>
    </row>
    <row r="54" spans="1:13" ht="15.75">
      <c r="A54" s="81" t="s">
        <v>76</v>
      </c>
      <c r="B54" s="144">
        <v>0.311</v>
      </c>
      <c r="C54" s="144">
        <v>0.28000000000000003</v>
      </c>
      <c r="D54" s="144">
        <v>0.28000000000000003</v>
      </c>
      <c r="E54" s="144">
        <v>0.27500000000000002</v>
      </c>
      <c r="F54" s="144">
        <v>0.27400000000000002</v>
      </c>
      <c r="G54" s="144">
        <v>0.27700000000000002</v>
      </c>
      <c r="H54" s="144">
        <v>0.28299999999999997</v>
      </c>
      <c r="I54" s="144">
        <v>0.28100000000000003</v>
      </c>
      <c r="J54" s="144">
        <v>0.27800000000000002</v>
      </c>
      <c r="K54" s="144">
        <v>0.27600000000000002</v>
      </c>
      <c r="L54" s="144">
        <v>0.27700000000000002</v>
      </c>
    </row>
    <row r="55" spans="1:13" ht="15">
      <c r="A55" s="56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2"/>
    </row>
    <row r="56" spans="1:13" ht="15">
      <c r="A56" s="125" t="s">
        <v>47</v>
      </c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</row>
    <row r="57" spans="1:13" ht="15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66"/>
      <c r="L57" s="108"/>
    </row>
    <row r="58" spans="1:13" ht="15"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37"/>
  <sheetViews>
    <sheetView zoomScale="80" zoomScaleNormal="80" workbookViewId="0">
      <selection activeCell="A2" sqref="A2"/>
    </sheetView>
  </sheetViews>
  <sheetFormatPr defaultRowHeight="13.5"/>
  <cols>
    <col min="1" max="1" width="16.125" customWidth="1"/>
    <col min="2" max="14" width="7.625" customWidth="1"/>
  </cols>
  <sheetData>
    <row r="2" spans="1:26" ht="15">
      <c r="A2" s="17" t="s">
        <v>243</v>
      </c>
      <c r="B2" s="10"/>
      <c r="C2" s="1"/>
      <c r="D2" s="1"/>
      <c r="E2" s="1"/>
      <c r="F2" s="1"/>
      <c r="G2" s="1"/>
      <c r="H2" s="1"/>
      <c r="I2" s="1"/>
      <c r="J2" s="1"/>
      <c r="K2" s="1"/>
      <c r="L2" s="1"/>
      <c r="M2" s="10"/>
    </row>
    <row r="3" spans="1:26" ht="15">
      <c r="A3" s="20"/>
      <c r="B3" s="145">
        <v>1980</v>
      </c>
      <c r="C3" s="145">
        <v>1981</v>
      </c>
      <c r="D3" s="145">
        <v>1982</v>
      </c>
      <c r="E3" s="145">
        <v>1983</v>
      </c>
      <c r="F3" s="145">
        <v>1984</v>
      </c>
      <c r="G3" s="145">
        <v>1985</v>
      </c>
      <c r="H3" s="145">
        <v>1986</v>
      </c>
      <c r="I3" s="145">
        <v>1987</v>
      </c>
      <c r="J3" s="145">
        <v>1988</v>
      </c>
      <c r="K3" s="145">
        <v>1989</v>
      </c>
      <c r="L3" s="145">
        <v>1990</v>
      </c>
      <c r="M3" s="145">
        <v>1991</v>
      </c>
      <c r="N3" s="145">
        <v>1992</v>
      </c>
      <c r="O3" s="41"/>
      <c r="P3" s="11"/>
      <c r="Q3" s="11"/>
      <c r="R3" s="11"/>
      <c r="S3" s="11"/>
      <c r="T3" s="11"/>
      <c r="U3" s="11"/>
      <c r="V3" s="11"/>
      <c r="W3" s="11"/>
      <c r="X3" s="11"/>
    </row>
    <row r="4" spans="1:26" ht="15">
      <c r="A4" s="3" t="s">
        <v>0</v>
      </c>
      <c r="B4" s="146">
        <v>150</v>
      </c>
      <c r="C4" s="146">
        <v>109</v>
      </c>
      <c r="D4" s="146">
        <v>43</v>
      </c>
      <c r="E4" s="146">
        <v>79</v>
      </c>
      <c r="F4" s="146">
        <v>244</v>
      </c>
      <c r="G4" s="146">
        <v>153</v>
      </c>
      <c r="H4" s="146">
        <v>734</v>
      </c>
      <c r="I4" s="146">
        <v>285</v>
      </c>
      <c r="J4" s="146">
        <v>277</v>
      </c>
      <c r="K4" s="146">
        <v>420</v>
      </c>
      <c r="L4" s="146">
        <v>3379</v>
      </c>
      <c r="M4" s="146">
        <v>2632</v>
      </c>
      <c r="N4" s="146">
        <v>697</v>
      </c>
      <c r="O4" s="2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">
      <c r="A5" s="12" t="s">
        <v>1</v>
      </c>
      <c r="B5" s="147">
        <v>562</v>
      </c>
      <c r="C5" s="147">
        <v>989</v>
      </c>
      <c r="D5" s="147">
        <v>892</v>
      </c>
      <c r="E5" s="147">
        <v>622</v>
      </c>
      <c r="F5" s="147">
        <v>1158</v>
      </c>
      <c r="G5" s="147">
        <v>2052</v>
      </c>
      <c r="H5" s="147">
        <v>5614</v>
      </c>
      <c r="I5" s="147">
        <v>1462</v>
      </c>
      <c r="J5" s="147">
        <v>2727</v>
      </c>
      <c r="K5" s="147">
        <v>2328</v>
      </c>
      <c r="L5" s="147">
        <v>4304</v>
      </c>
      <c r="M5" s="147">
        <v>3423</v>
      </c>
      <c r="N5" s="147">
        <v>1754</v>
      </c>
      <c r="O5" s="4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">
      <c r="A6" s="16"/>
      <c r="B6" s="148">
        <v>1993</v>
      </c>
      <c r="C6" s="148">
        <v>1994</v>
      </c>
      <c r="D6" s="148">
        <v>1995</v>
      </c>
      <c r="E6" s="148">
        <v>1996</v>
      </c>
      <c r="F6" s="148">
        <v>1997</v>
      </c>
      <c r="G6" s="148">
        <v>1998</v>
      </c>
      <c r="H6" s="148">
        <v>1999</v>
      </c>
      <c r="I6" s="148">
        <v>2000</v>
      </c>
      <c r="J6" s="148">
        <v>2001</v>
      </c>
      <c r="K6" s="148">
        <v>2002</v>
      </c>
      <c r="L6" s="148">
        <v>2003</v>
      </c>
      <c r="M6" s="148">
        <v>2004</v>
      </c>
      <c r="N6" s="148">
        <v>2005</v>
      </c>
      <c r="O6" s="41"/>
      <c r="P6" s="11"/>
      <c r="Q6" s="11"/>
      <c r="R6" s="11"/>
      <c r="S6" s="11"/>
      <c r="T6" s="11"/>
      <c r="U6" s="11"/>
      <c r="V6" s="11"/>
      <c r="W6" s="11"/>
      <c r="X6" s="11"/>
    </row>
    <row r="7" spans="1:26" ht="15">
      <c r="A7" s="3" t="s">
        <v>0</v>
      </c>
      <c r="B7" s="146">
        <v>48</v>
      </c>
      <c r="C7" s="146">
        <v>61</v>
      </c>
      <c r="D7" s="146">
        <v>26</v>
      </c>
      <c r="E7" s="146">
        <v>22</v>
      </c>
      <c r="F7" s="146">
        <v>49</v>
      </c>
      <c r="G7" s="146">
        <v>42</v>
      </c>
      <c r="H7" s="146">
        <v>35</v>
      </c>
      <c r="I7" s="146">
        <v>170</v>
      </c>
      <c r="J7" s="146">
        <v>32</v>
      </c>
      <c r="K7" s="146">
        <v>12</v>
      </c>
      <c r="L7" s="146">
        <v>7</v>
      </c>
      <c r="M7" s="146">
        <v>18</v>
      </c>
      <c r="N7" s="146">
        <v>31</v>
      </c>
      <c r="O7" s="44"/>
      <c r="P7" s="11"/>
      <c r="Q7" s="11"/>
      <c r="R7" s="11"/>
      <c r="S7" s="11"/>
      <c r="T7" s="11"/>
      <c r="U7" s="11"/>
      <c r="V7" s="11"/>
      <c r="W7" s="11"/>
      <c r="X7" s="11"/>
    </row>
    <row r="8" spans="1:26" ht="15">
      <c r="A8" s="12" t="s">
        <v>1</v>
      </c>
      <c r="B8" s="147">
        <v>1280</v>
      </c>
      <c r="C8" s="147">
        <v>638</v>
      </c>
      <c r="D8" s="147">
        <v>143</v>
      </c>
      <c r="E8" s="147">
        <v>148</v>
      </c>
      <c r="F8" s="147">
        <v>172</v>
      </c>
      <c r="G8" s="147">
        <v>121</v>
      </c>
      <c r="H8" s="147">
        <v>145</v>
      </c>
      <c r="I8" s="147">
        <v>283</v>
      </c>
      <c r="J8" s="147">
        <v>63</v>
      </c>
      <c r="K8" s="147">
        <v>33</v>
      </c>
      <c r="L8" s="147">
        <v>44</v>
      </c>
      <c r="M8" s="147">
        <v>62</v>
      </c>
      <c r="N8" s="147">
        <v>101</v>
      </c>
      <c r="O8" s="4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">
      <c r="A9" s="16"/>
      <c r="B9" s="149">
        <v>2006</v>
      </c>
      <c r="C9" s="149">
        <v>2007</v>
      </c>
      <c r="D9" s="149">
        <v>2008</v>
      </c>
      <c r="E9" s="149">
        <v>2009</v>
      </c>
      <c r="F9" s="149">
        <v>2010</v>
      </c>
      <c r="G9" s="149">
        <v>2011</v>
      </c>
      <c r="H9" s="149">
        <v>2012</v>
      </c>
      <c r="I9" s="149">
        <v>2013</v>
      </c>
      <c r="J9" s="149">
        <v>2014</v>
      </c>
      <c r="K9" s="149">
        <v>2015</v>
      </c>
      <c r="L9" s="149">
        <v>2016</v>
      </c>
      <c r="M9" s="149">
        <v>2017</v>
      </c>
      <c r="N9" s="149">
        <v>2018</v>
      </c>
      <c r="O9" s="3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">
      <c r="A10" s="3" t="s">
        <v>0</v>
      </c>
      <c r="B10" s="146">
        <v>7</v>
      </c>
      <c r="C10" s="146">
        <v>32</v>
      </c>
      <c r="D10" s="146">
        <v>13</v>
      </c>
      <c r="E10" s="146">
        <v>24</v>
      </c>
      <c r="F10" s="146">
        <v>37</v>
      </c>
      <c r="G10" s="146">
        <v>52</v>
      </c>
      <c r="H10" s="146">
        <v>116</v>
      </c>
      <c r="I10" s="146">
        <v>134</v>
      </c>
      <c r="J10" s="146">
        <v>306</v>
      </c>
      <c r="K10" s="146">
        <v>146</v>
      </c>
      <c r="L10" s="146">
        <v>241</v>
      </c>
      <c r="M10" s="146">
        <v>452</v>
      </c>
      <c r="N10" s="146">
        <v>1354</v>
      </c>
      <c r="O10" s="44"/>
      <c r="P10" s="11"/>
      <c r="Q10" s="11"/>
      <c r="R10" s="11"/>
      <c r="S10" s="11"/>
      <c r="T10" s="11"/>
      <c r="U10" s="11"/>
      <c r="V10" s="11"/>
      <c r="W10" s="11"/>
      <c r="X10" s="11"/>
    </row>
    <row r="11" spans="1:26" ht="15">
      <c r="A11" s="12" t="s">
        <v>1</v>
      </c>
      <c r="B11" s="150">
        <v>38</v>
      </c>
      <c r="C11" s="150">
        <v>148</v>
      </c>
      <c r="D11" s="150">
        <v>84</v>
      </c>
      <c r="E11" s="150">
        <v>118</v>
      </c>
      <c r="F11" s="150">
        <v>75</v>
      </c>
      <c r="G11" s="150">
        <v>120</v>
      </c>
      <c r="H11" s="150">
        <v>192</v>
      </c>
      <c r="I11" s="150">
        <v>245</v>
      </c>
      <c r="J11" s="150">
        <v>426</v>
      </c>
      <c r="K11" s="150">
        <v>228</v>
      </c>
      <c r="L11" s="150">
        <v>347</v>
      </c>
      <c r="M11" s="150">
        <v>531</v>
      </c>
      <c r="N11" s="150">
        <v>1378</v>
      </c>
      <c r="O11" s="2"/>
      <c r="P11" s="11"/>
      <c r="Q11" s="11"/>
      <c r="R11" s="11"/>
      <c r="S11" s="11"/>
      <c r="T11" s="11"/>
      <c r="U11" s="11"/>
      <c r="V11" s="11"/>
      <c r="W11" s="11"/>
      <c r="X11" s="11"/>
    </row>
    <row r="12" spans="1:26" ht="15">
      <c r="A12" s="16"/>
      <c r="B12" s="149">
        <v>2019</v>
      </c>
      <c r="C12" s="149">
        <v>2020</v>
      </c>
      <c r="D12" s="149">
        <v>2021</v>
      </c>
      <c r="E12" s="149">
        <v>2022</v>
      </c>
      <c r="F12" s="149">
        <v>2023</v>
      </c>
      <c r="G12" s="149">
        <v>2024</v>
      </c>
      <c r="H12" s="57"/>
      <c r="I12" s="57"/>
      <c r="J12" s="57"/>
      <c r="K12" s="57"/>
      <c r="L12" s="57"/>
      <c r="M12" s="57"/>
      <c r="N12" s="57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">
      <c r="A13" s="3" t="s">
        <v>0</v>
      </c>
      <c r="B13" s="146">
        <v>1804</v>
      </c>
      <c r="C13" s="146">
        <v>681</v>
      </c>
      <c r="D13" s="146">
        <v>1066</v>
      </c>
      <c r="E13" s="146">
        <v>1417</v>
      </c>
      <c r="F13" s="146">
        <v>941</v>
      </c>
      <c r="G13" s="146">
        <v>253</v>
      </c>
      <c r="H13" s="57"/>
      <c r="I13" s="57"/>
      <c r="J13" s="57"/>
      <c r="K13" s="57"/>
      <c r="L13" s="57"/>
      <c r="M13" s="57"/>
      <c r="N13" s="57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">
      <c r="A14" s="12" t="s">
        <v>1</v>
      </c>
      <c r="B14" s="150">
        <v>1892</v>
      </c>
      <c r="C14" s="150">
        <v>723</v>
      </c>
      <c r="D14" s="150">
        <v>1088</v>
      </c>
      <c r="E14" s="150">
        <v>1423</v>
      </c>
      <c r="F14" s="150">
        <v>1023</v>
      </c>
      <c r="G14" s="150">
        <v>284</v>
      </c>
      <c r="H14" s="57"/>
      <c r="I14" s="57"/>
      <c r="J14" s="57"/>
      <c r="K14" s="57"/>
      <c r="L14" s="57"/>
      <c r="M14" s="57"/>
      <c r="N14" s="57"/>
    </row>
    <row r="15" spans="1:26" ht="15">
      <c r="A15" s="185" t="s">
        <v>244</v>
      </c>
      <c r="B15" s="5"/>
      <c r="C15" s="5"/>
      <c r="D15" s="5"/>
      <c r="E15" s="5"/>
      <c r="F15" s="5"/>
      <c r="G15" s="5"/>
      <c r="H15" s="110"/>
      <c r="I15" s="6"/>
      <c r="J15" s="6"/>
      <c r="K15" s="6"/>
      <c r="L15" s="2"/>
      <c r="M15" s="2"/>
    </row>
    <row r="16" spans="1:26" ht="15">
      <c r="B16" s="5"/>
      <c r="C16" s="5"/>
      <c r="D16" s="5"/>
      <c r="E16" s="5"/>
      <c r="F16" s="5"/>
      <c r="G16" s="5"/>
      <c r="H16" s="110"/>
      <c r="I16" s="6"/>
      <c r="J16" s="166"/>
      <c r="K16" s="6"/>
      <c r="L16" s="2"/>
      <c r="M16" s="2"/>
    </row>
    <row r="17" spans="1:24" ht="15">
      <c r="A17" s="3"/>
      <c r="B17" s="5"/>
      <c r="C17" s="5"/>
      <c r="D17" s="5"/>
      <c r="E17" s="5"/>
      <c r="F17" s="5"/>
      <c r="G17" s="5"/>
      <c r="H17" s="6"/>
      <c r="I17" s="6"/>
      <c r="J17" s="6"/>
      <c r="K17" s="6"/>
      <c r="L17" s="2"/>
      <c r="M17" s="2"/>
    </row>
    <row r="18" spans="1:24" ht="15">
      <c r="A18" s="15" t="s">
        <v>245</v>
      </c>
      <c r="B18" s="9"/>
      <c r="C18" s="9"/>
      <c r="D18" s="9"/>
      <c r="E18" s="9"/>
      <c r="F18" s="9"/>
      <c r="G18" s="9"/>
      <c r="H18" s="1"/>
      <c r="I18" s="1"/>
      <c r="J18" s="1"/>
      <c r="K18" s="1"/>
      <c r="L18" s="1"/>
      <c r="M18" s="1"/>
    </row>
    <row r="19" spans="1:24" ht="15" customHeight="1">
      <c r="A19" s="293" t="s">
        <v>2</v>
      </c>
      <c r="B19" s="58">
        <v>1996</v>
      </c>
      <c r="C19" s="58">
        <v>1997</v>
      </c>
      <c r="D19" s="58">
        <v>1998</v>
      </c>
      <c r="E19" s="58">
        <v>1999</v>
      </c>
      <c r="F19" s="58">
        <v>2000</v>
      </c>
      <c r="G19" s="58">
        <v>2001</v>
      </c>
      <c r="H19" s="58">
        <v>2002</v>
      </c>
      <c r="I19" s="58">
        <v>2003</v>
      </c>
      <c r="J19" s="58">
        <v>2004</v>
      </c>
      <c r="K19" s="58">
        <v>2005</v>
      </c>
      <c r="L19" s="41"/>
      <c r="M19" s="10"/>
    </row>
    <row r="20" spans="1:24" ht="15">
      <c r="A20" s="294"/>
      <c r="B20" s="59">
        <v>187.4</v>
      </c>
      <c r="C20" s="59">
        <v>45</v>
      </c>
      <c r="D20" s="59">
        <v>60.1</v>
      </c>
      <c r="E20" s="59">
        <v>6.1</v>
      </c>
      <c r="F20" s="59">
        <v>45.7</v>
      </c>
      <c r="G20" s="59">
        <v>0.1</v>
      </c>
      <c r="H20" s="59">
        <v>0.8</v>
      </c>
      <c r="I20" s="59">
        <v>0.1</v>
      </c>
      <c r="J20" s="59">
        <v>0.6</v>
      </c>
      <c r="K20" s="59">
        <v>5</v>
      </c>
      <c r="L20" s="19"/>
      <c r="M20" s="10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ht="15">
      <c r="A21" s="294"/>
      <c r="B21" s="58">
        <v>2006</v>
      </c>
      <c r="C21" s="58">
        <v>2007</v>
      </c>
      <c r="D21" s="58">
        <v>2008</v>
      </c>
      <c r="E21" s="58">
        <v>2009</v>
      </c>
      <c r="F21" s="58">
        <v>2010</v>
      </c>
      <c r="G21" s="58">
        <v>2011</v>
      </c>
      <c r="H21" s="58">
        <v>2012</v>
      </c>
      <c r="I21" s="58">
        <v>2013</v>
      </c>
      <c r="J21" s="58">
        <v>2014</v>
      </c>
      <c r="K21" s="58">
        <v>2015</v>
      </c>
      <c r="L21" s="41"/>
      <c r="M21" s="18"/>
    </row>
    <row r="22" spans="1:24" ht="15">
      <c r="A22" s="294"/>
      <c r="B22" s="59">
        <v>0.4</v>
      </c>
      <c r="C22" s="59">
        <v>3.2</v>
      </c>
      <c r="D22" s="59">
        <v>1.2</v>
      </c>
      <c r="E22" s="59">
        <v>16.8</v>
      </c>
      <c r="F22" s="59">
        <v>391.4</v>
      </c>
      <c r="G22" s="59">
        <v>28.8</v>
      </c>
      <c r="H22" s="59">
        <v>123.2</v>
      </c>
      <c r="I22" s="59">
        <v>139.1</v>
      </c>
      <c r="J22" s="59">
        <v>158</v>
      </c>
      <c r="K22" s="59">
        <v>101.5</v>
      </c>
      <c r="L22" s="19"/>
      <c r="M22" s="19"/>
    </row>
    <row r="23" spans="1:24" ht="15">
      <c r="A23" s="294"/>
      <c r="B23" s="58">
        <v>2016</v>
      </c>
      <c r="C23" s="58">
        <v>2017</v>
      </c>
      <c r="D23" s="58">
        <v>2018</v>
      </c>
      <c r="E23" s="58">
        <v>2019</v>
      </c>
      <c r="F23" s="58">
        <v>2020</v>
      </c>
      <c r="G23" s="58">
        <v>2021</v>
      </c>
      <c r="H23" s="58">
        <v>2022</v>
      </c>
      <c r="I23" s="58">
        <v>2023</v>
      </c>
      <c r="J23" s="58">
        <v>2024</v>
      </c>
      <c r="K23" s="21"/>
      <c r="L23" s="21"/>
      <c r="M23" s="1"/>
    </row>
    <row r="24" spans="1:24" ht="15">
      <c r="A24" s="295"/>
      <c r="B24" s="59">
        <v>102.6</v>
      </c>
      <c r="C24" s="59">
        <v>91.9</v>
      </c>
      <c r="D24" s="59">
        <v>524.79999999999995</v>
      </c>
      <c r="E24" s="59">
        <v>248.1</v>
      </c>
      <c r="F24" s="59">
        <v>257.10000000000002</v>
      </c>
      <c r="G24" s="59">
        <v>836.3</v>
      </c>
      <c r="H24" s="59">
        <v>646.9</v>
      </c>
      <c r="I24" s="59">
        <v>527.70000000000005</v>
      </c>
      <c r="J24" s="59">
        <v>8</v>
      </c>
      <c r="K24" s="21"/>
      <c r="L24" s="21"/>
      <c r="M24" s="1"/>
    </row>
    <row r="25" spans="1:24" ht="1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"/>
      <c r="L25" s="1"/>
      <c r="M25" s="1"/>
    </row>
    <row r="26" spans="1:24" ht="15">
      <c r="A26" s="1"/>
      <c r="B26" s="9"/>
      <c r="C26" s="9"/>
      <c r="D26" s="9"/>
      <c r="E26" s="9"/>
      <c r="F26" s="9"/>
      <c r="G26" s="9"/>
      <c r="H26" s="1"/>
      <c r="I26" s="1"/>
      <c r="J26" s="1"/>
      <c r="K26" s="1"/>
      <c r="L26" s="1"/>
      <c r="M26" s="1"/>
    </row>
    <row r="27" spans="1:24" ht="15">
      <c r="A27" s="15" t="s">
        <v>246</v>
      </c>
      <c r="B27" s="1"/>
      <c r="C27" s="9"/>
      <c r="D27" s="9"/>
      <c r="E27" s="9"/>
      <c r="F27" s="9"/>
      <c r="G27" s="9"/>
      <c r="H27" s="9"/>
      <c r="I27" s="1"/>
      <c r="J27" s="1"/>
      <c r="K27" s="1"/>
      <c r="L27" s="10"/>
      <c r="M27" s="10"/>
    </row>
    <row r="28" spans="1:24" ht="15" customHeight="1">
      <c r="A28" s="293" t="s">
        <v>3</v>
      </c>
      <c r="B28" s="60">
        <v>1976</v>
      </c>
      <c r="C28" s="60">
        <v>1977</v>
      </c>
      <c r="D28" s="60">
        <v>1978</v>
      </c>
      <c r="E28" s="60">
        <v>1979</v>
      </c>
      <c r="F28" s="60">
        <v>1980</v>
      </c>
      <c r="G28" s="60">
        <v>1981</v>
      </c>
      <c r="H28" s="60">
        <v>1982</v>
      </c>
      <c r="I28" s="60">
        <v>1983</v>
      </c>
      <c r="J28" s="60">
        <v>1984</v>
      </c>
      <c r="K28" s="60">
        <v>1985</v>
      </c>
      <c r="L28" s="42"/>
      <c r="M28" s="38"/>
      <c r="N28" s="39"/>
    </row>
    <row r="29" spans="1:24" ht="15">
      <c r="A29" s="294"/>
      <c r="B29" s="61">
        <v>7592</v>
      </c>
      <c r="C29" s="61">
        <v>4109</v>
      </c>
      <c r="D29" s="61">
        <v>16840</v>
      </c>
      <c r="E29" s="61">
        <v>11653</v>
      </c>
      <c r="F29" s="61">
        <v>2853</v>
      </c>
      <c r="G29" s="61">
        <v>53698</v>
      </c>
      <c r="H29" s="61">
        <v>41207</v>
      </c>
      <c r="I29" s="61">
        <v>6740</v>
      </c>
      <c r="J29" s="61">
        <v>50085</v>
      </c>
      <c r="K29" s="61">
        <v>41197</v>
      </c>
      <c r="L29" s="43"/>
      <c r="M29" s="40"/>
      <c r="N29" s="11"/>
    </row>
    <row r="30" spans="1:24" ht="15">
      <c r="A30" s="294"/>
      <c r="B30" s="60">
        <v>1986</v>
      </c>
      <c r="C30" s="60">
        <v>1987</v>
      </c>
      <c r="D30" s="60">
        <v>1988</v>
      </c>
      <c r="E30" s="60">
        <v>1989</v>
      </c>
      <c r="F30" s="60">
        <v>1990</v>
      </c>
      <c r="G30" s="60">
        <v>1991</v>
      </c>
      <c r="H30" s="60">
        <v>1992</v>
      </c>
      <c r="I30" s="60">
        <v>1993</v>
      </c>
      <c r="J30" s="60">
        <v>1994</v>
      </c>
      <c r="K30" s="60">
        <v>1995</v>
      </c>
      <c r="L30" s="42"/>
      <c r="M30" s="38"/>
      <c r="N30" s="39"/>
    </row>
    <row r="31" spans="1:24" ht="15">
      <c r="A31" s="294"/>
      <c r="B31" s="61">
        <v>62928</v>
      </c>
      <c r="C31" s="61">
        <v>42986</v>
      </c>
      <c r="D31" s="61">
        <v>39659</v>
      </c>
      <c r="E31" s="61">
        <v>1588</v>
      </c>
      <c r="F31" s="61">
        <v>5944</v>
      </c>
      <c r="G31" s="61">
        <v>224</v>
      </c>
      <c r="H31" s="61">
        <v>30</v>
      </c>
      <c r="I31" s="61">
        <v>30541</v>
      </c>
      <c r="J31" s="61">
        <v>5802</v>
      </c>
      <c r="K31" s="61">
        <v>5054</v>
      </c>
      <c r="L31" s="43"/>
      <c r="M31" s="40"/>
      <c r="N31" s="11"/>
    </row>
    <row r="32" spans="1:24" ht="15">
      <c r="A32" s="294"/>
      <c r="B32" s="60">
        <v>1996</v>
      </c>
      <c r="C32" s="60">
        <v>1997</v>
      </c>
      <c r="D32" s="60">
        <v>1998</v>
      </c>
      <c r="E32" s="60">
        <v>1999</v>
      </c>
      <c r="F32" s="60">
        <v>2000</v>
      </c>
      <c r="G32" s="60">
        <v>2001</v>
      </c>
      <c r="H32" s="60">
        <v>2002</v>
      </c>
      <c r="I32" s="60">
        <v>2003</v>
      </c>
      <c r="J32" s="60">
        <v>2004</v>
      </c>
      <c r="K32" s="60">
        <v>2005</v>
      </c>
      <c r="L32" s="42"/>
      <c r="M32" s="38"/>
      <c r="N32" s="39"/>
    </row>
    <row r="33" spans="1:14" ht="15">
      <c r="A33" s="294"/>
      <c r="B33" s="61">
        <v>239</v>
      </c>
      <c r="C33" s="61">
        <v>8481</v>
      </c>
      <c r="D33" s="61">
        <v>1136</v>
      </c>
      <c r="E33" s="61">
        <v>5763</v>
      </c>
      <c r="F33" s="61">
        <v>0</v>
      </c>
      <c r="G33" s="61">
        <v>8480</v>
      </c>
      <c r="H33" s="61">
        <v>122</v>
      </c>
      <c r="I33" s="61">
        <v>404</v>
      </c>
      <c r="J33" s="61">
        <v>342</v>
      </c>
      <c r="K33" s="61">
        <v>28</v>
      </c>
      <c r="L33" s="44"/>
      <c r="M33" s="40"/>
      <c r="N33" s="11"/>
    </row>
    <row r="34" spans="1:14" ht="15">
      <c r="A34" s="294"/>
      <c r="B34" s="60">
        <v>2006</v>
      </c>
      <c r="C34" s="60">
        <v>2007</v>
      </c>
      <c r="D34" s="60">
        <v>2008</v>
      </c>
      <c r="E34" s="60">
        <v>2009</v>
      </c>
      <c r="F34" s="60">
        <v>2010</v>
      </c>
      <c r="G34" s="60">
        <v>2011</v>
      </c>
      <c r="H34" s="60">
        <v>2012</v>
      </c>
      <c r="I34" s="60">
        <v>2013</v>
      </c>
      <c r="J34" s="60">
        <v>2014</v>
      </c>
      <c r="K34" s="60">
        <v>2015</v>
      </c>
      <c r="L34" s="42"/>
      <c r="M34" s="38"/>
      <c r="N34" s="39"/>
    </row>
    <row r="35" spans="1:14" ht="15">
      <c r="A35" s="294"/>
      <c r="B35" s="61">
        <v>1093</v>
      </c>
      <c r="C35" s="61">
        <v>371</v>
      </c>
      <c r="D35" s="61">
        <v>385</v>
      </c>
      <c r="E35" s="61">
        <v>921</v>
      </c>
      <c r="F35" s="61">
        <v>780</v>
      </c>
      <c r="G35" s="61">
        <v>3374</v>
      </c>
      <c r="H35" s="61">
        <v>408</v>
      </c>
      <c r="I35" s="61">
        <v>1397</v>
      </c>
      <c r="J35" s="61">
        <v>1757</v>
      </c>
      <c r="K35" s="61">
        <v>2065</v>
      </c>
      <c r="L35" s="44"/>
      <c r="M35" s="40"/>
      <c r="N35" s="11"/>
    </row>
    <row r="36" spans="1:14" ht="15">
      <c r="A36" s="294"/>
      <c r="B36" s="60">
        <v>2016</v>
      </c>
      <c r="C36" s="60">
        <v>2017</v>
      </c>
      <c r="D36" s="60">
        <v>2018</v>
      </c>
      <c r="E36" s="60">
        <v>2019</v>
      </c>
      <c r="F36" s="60">
        <v>2020</v>
      </c>
      <c r="G36" s="60">
        <v>2021</v>
      </c>
      <c r="H36" s="60">
        <v>2022</v>
      </c>
      <c r="I36" s="60">
        <v>2023</v>
      </c>
      <c r="J36" s="60">
        <v>2024</v>
      </c>
      <c r="K36" s="62"/>
      <c r="L36" s="38"/>
      <c r="M36" s="38"/>
      <c r="N36" s="39"/>
    </row>
    <row r="37" spans="1:14" ht="15">
      <c r="A37" s="295"/>
      <c r="B37" s="61">
        <v>2480</v>
      </c>
      <c r="C37" s="61">
        <v>1855</v>
      </c>
      <c r="D37" s="61">
        <v>2178</v>
      </c>
      <c r="E37" s="61">
        <v>6991</v>
      </c>
      <c r="F37" s="61">
        <v>17329</v>
      </c>
      <c r="G37" s="61">
        <v>11661</v>
      </c>
      <c r="H37" s="61">
        <v>630</v>
      </c>
      <c r="I37" s="61">
        <v>817</v>
      </c>
      <c r="J37" s="61">
        <v>1182</v>
      </c>
      <c r="K37" s="151"/>
      <c r="L37" s="2"/>
      <c r="M37" s="2"/>
      <c r="N37" s="11"/>
    </row>
  </sheetData>
  <mergeCells count="2">
    <mergeCell ref="A19:A24"/>
    <mergeCell ref="A28:A37"/>
  </mergeCells>
  <phoneticPr fontId="3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347E-6AE7-4409-A705-C9BCFD90301E}">
  <dimension ref="A1:F22"/>
  <sheetViews>
    <sheetView zoomScale="80" zoomScaleNormal="80" workbookViewId="0"/>
  </sheetViews>
  <sheetFormatPr defaultRowHeight="15"/>
  <cols>
    <col min="1" max="16384" width="9" style="152"/>
  </cols>
  <sheetData>
    <row r="1" spans="1:6">
      <c r="A1" s="152" t="s">
        <v>228</v>
      </c>
    </row>
    <row r="3" spans="1:6">
      <c r="A3" s="152" t="s">
        <v>229</v>
      </c>
    </row>
    <row r="4" spans="1:6">
      <c r="A4" s="49" t="s">
        <v>230</v>
      </c>
      <c r="B4" s="296" t="s">
        <v>231</v>
      </c>
      <c r="C4" s="296"/>
      <c r="D4" s="296"/>
      <c r="E4" s="296"/>
      <c r="F4" s="296"/>
    </row>
    <row r="5" spans="1:6">
      <c r="A5" s="49" t="s">
        <v>232</v>
      </c>
      <c r="B5" s="49">
        <v>2019</v>
      </c>
      <c r="C5" s="49">
        <v>2020</v>
      </c>
      <c r="D5" s="49">
        <v>2021</v>
      </c>
      <c r="E5" s="49">
        <v>2022</v>
      </c>
      <c r="F5" s="49">
        <v>2023</v>
      </c>
    </row>
    <row r="6" spans="1:6">
      <c r="A6" s="49">
        <v>2022</v>
      </c>
      <c r="B6" s="49">
        <v>550</v>
      </c>
      <c r="C6" s="49">
        <v>697</v>
      </c>
      <c r="D6" s="49">
        <v>617</v>
      </c>
      <c r="E6" s="49"/>
      <c r="F6" s="49"/>
    </row>
    <row r="7" spans="1:6">
      <c r="A7" s="49">
        <v>2023</v>
      </c>
      <c r="B7" s="49">
        <v>621</v>
      </c>
      <c r="C7" s="49">
        <v>784</v>
      </c>
      <c r="D7" s="49">
        <v>689</v>
      </c>
      <c r="E7" s="49">
        <v>582</v>
      </c>
      <c r="F7" s="49"/>
    </row>
    <row r="8" spans="1:6">
      <c r="A8" s="49">
        <v>2024</v>
      </c>
      <c r="B8" s="49">
        <v>665</v>
      </c>
      <c r="C8" s="49">
        <v>978</v>
      </c>
      <c r="D8" s="49">
        <v>752</v>
      </c>
      <c r="E8" s="49">
        <v>606</v>
      </c>
      <c r="F8" s="49">
        <v>351</v>
      </c>
    </row>
    <row r="10" spans="1:6">
      <c r="A10" s="152" t="s">
        <v>233</v>
      </c>
    </row>
    <row r="11" spans="1:6">
      <c r="A11" s="49" t="s">
        <v>230</v>
      </c>
      <c r="B11" s="296" t="s">
        <v>231</v>
      </c>
      <c r="C11" s="296"/>
      <c r="D11" s="296"/>
      <c r="E11" s="296"/>
      <c r="F11" s="296"/>
    </row>
    <row r="12" spans="1:6">
      <c r="A12" s="49" t="s">
        <v>232</v>
      </c>
      <c r="B12" s="49">
        <v>2019</v>
      </c>
      <c r="C12" s="49">
        <v>2020</v>
      </c>
      <c r="D12" s="49">
        <v>2021</v>
      </c>
      <c r="E12" s="49">
        <v>2022</v>
      </c>
      <c r="F12" s="49">
        <v>2023</v>
      </c>
    </row>
    <row r="13" spans="1:6">
      <c r="A13" s="49">
        <v>2022</v>
      </c>
      <c r="B13" s="49">
        <v>175</v>
      </c>
      <c r="C13" s="49">
        <v>245</v>
      </c>
      <c r="D13" s="49">
        <v>221</v>
      </c>
      <c r="E13" s="49"/>
      <c r="F13" s="49"/>
    </row>
    <row r="14" spans="1:6">
      <c r="A14" s="49">
        <v>2023</v>
      </c>
      <c r="B14" s="49">
        <v>175</v>
      </c>
      <c r="C14" s="49">
        <v>249</v>
      </c>
      <c r="D14" s="49">
        <v>240</v>
      </c>
      <c r="E14" s="49">
        <v>241</v>
      </c>
      <c r="F14" s="49"/>
    </row>
    <row r="15" spans="1:6">
      <c r="A15" s="49">
        <v>2024</v>
      </c>
      <c r="B15" s="49">
        <v>164</v>
      </c>
      <c r="C15" s="49">
        <v>229</v>
      </c>
      <c r="D15" s="49">
        <v>245</v>
      </c>
      <c r="E15" s="49">
        <v>277</v>
      </c>
      <c r="F15" s="49">
        <v>279</v>
      </c>
    </row>
    <row r="17" spans="1:6">
      <c r="A17" s="152" t="s">
        <v>234</v>
      </c>
    </row>
    <row r="18" spans="1:6">
      <c r="A18" s="49" t="s">
        <v>230</v>
      </c>
      <c r="B18" s="296" t="s">
        <v>231</v>
      </c>
      <c r="C18" s="296"/>
      <c r="D18" s="296"/>
      <c r="E18" s="296"/>
      <c r="F18" s="296"/>
    </row>
    <row r="19" spans="1:6">
      <c r="A19" s="49" t="s">
        <v>232</v>
      </c>
      <c r="B19" s="49">
        <v>2019</v>
      </c>
      <c r="C19" s="49">
        <v>2020</v>
      </c>
      <c r="D19" s="49">
        <v>2021</v>
      </c>
      <c r="E19" s="49">
        <v>2022</v>
      </c>
      <c r="F19" s="49">
        <v>2023</v>
      </c>
    </row>
    <row r="20" spans="1:6">
      <c r="A20" s="49">
        <v>2022</v>
      </c>
      <c r="B20" s="49">
        <v>442</v>
      </c>
      <c r="C20" s="49">
        <v>487</v>
      </c>
      <c r="D20" s="49">
        <v>443</v>
      </c>
      <c r="E20" s="49"/>
      <c r="F20" s="49"/>
    </row>
    <row r="21" spans="1:6">
      <c r="A21" s="49">
        <v>2023</v>
      </c>
      <c r="B21" s="49">
        <v>455</v>
      </c>
      <c r="C21" s="49">
        <v>522</v>
      </c>
      <c r="D21" s="49">
        <v>497</v>
      </c>
      <c r="E21" s="49">
        <v>491</v>
      </c>
      <c r="F21" s="49"/>
    </row>
    <row r="22" spans="1:6">
      <c r="A22" s="49">
        <v>2024</v>
      </c>
      <c r="B22" s="49">
        <v>422</v>
      </c>
      <c r="C22" s="49">
        <v>517</v>
      </c>
      <c r="D22" s="49">
        <v>527</v>
      </c>
      <c r="E22" s="49">
        <v>492</v>
      </c>
      <c r="F22" s="49">
        <v>426</v>
      </c>
    </row>
  </sheetData>
  <mergeCells count="3">
    <mergeCell ref="B4:F4"/>
    <mergeCell ref="B11:F11"/>
    <mergeCell ref="B18:F18"/>
  </mergeCells>
  <phoneticPr fontId="3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7569-203E-4221-B4AA-DEF14B29F900}">
  <dimension ref="A1:F7"/>
  <sheetViews>
    <sheetView zoomScale="80" zoomScaleNormal="80" workbookViewId="0"/>
  </sheetViews>
  <sheetFormatPr defaultRowHeight="15"/>
  <cols>
    <col min="1" max="1" width="20.625" style="152" customWidth="1"/>
    <col min="2" max="16384" width="9" style="152"/>
  </cols>
  <sheetData>
    <row r="1" spans="1:6">
      <c r="A1" s="152" t="s">
        <v>235</v>
      </c>
    </row>
    <row r="4" spans="1:6" ht="30" customHeight="1">
      <c r="A4" s="49"/>
      <c r="B4" s="49" t="s">
        <v>236</v>
      </c>
      <c r="C4" s="49" t="s">
        <v>237</v>
      </c>
      <c r="D4" s="49" t="s">
        <v>238</v>
      </c>
      <c r="E4" s="49" t="s">
        <v>239</v>
      </c>
      <c r="F4" s="49" t="s">
        <v>240</v>
      </c>
    </row>
    <row r="5" spans="1:6" ht="30" customHeight="1">
      <c r="A5" s="49" t="s">
        <v>77</v>
      </c>
      <c r="B5" s="49">
        <v>117.5</v>
      </c>
      <c r="C5" s="49">
        <v>140.80000000000001</v>
      </c>
      <c r="D5" s="49">
        <v>97.3</v>
      </c>
      <c r="E5" s="49">
        <v>79.099999999999994</v>
      </c>
      <c r="F5" s="49">
        <v>92.2</v>
      </c>
    </row>
    <row r="6" spans="1:6" ht="30" customHeight="1">
      <c r="A6" s="49" t="s">
        <v>241</v>
      </c>
      <c r="B6" s="49">
        <v>54.7</v>
      </c>
      <c r="C6" s="49">
        <v>62.6</v>
      </c>
      <c r="D6" s="49">
        <v>58.5</v>
      </c>
      <c r="E6" s="49">
        <v>57</v>
      </c>
      <c r="F6" s="49">
        <v>57.7</v>
      </c>
    </row>
    <row r="7" spans="1:6" ht="30" customHeight="1">
      <c r="A7" s="180" t="s">
        <v>242</v>
      </c>
      <c r="B7" s="49">
        <v>72.599999999999994</v>
      </c>
      <c r="C7" s="49">
        <v>103.4</v>
      </c>
      <c r="D7" s="49">
        <v>107.8</v>
      </c>
      <c r="E7" s="49">
        <v>112.5</v>
      </c>
      <c r="F7" s="49">
        <v>135.4</v>
      </c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表3-1</vt:lpstr>
      <vt:lpstr>表5-1</vt:lpstr>
      <vt:lpstr>表5-2 </vt:lpstr>
      <vt:lpstr>補足表2-1</vt:lpstr>
      <vt:lpstr>補足表2-2</vt:lpstr>
      <vt:lpstr>補足表2-3</vt:lpstr>
      <vt:lpstr>補足表3-1</vt:lpstr>
      <vt:lpstr>補足表3-2</vt:lpstr>
      <vt:lpstr>補足表3-3</vt:lpstr>
      <vt:lpstr>補足表3-4</vt:lpstr>
      <vt:lpstr>補足表3-5</vt:lpstr>
      <vt:lpstr>補足表3-6</vt:lpstr>
      <vt:lpstr>補足表3-7</vt:lpstr>
      <vt:lpstr>補足表4</vt:lpstr>
      <vt:lpstr>補足表6-1</vt:lpstr>
      <vt:lpstr>補足表7-1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2025-04-28T00:49:05Z</dcterms:created>
  <dcterms:modified xsi:type="dcterms:W3CDTF">2025-04-28T00:50:30Z</dcterms:modified>
  <cp:category/>
  <cp:contentStatus/>
</cp:coreProperties>
</file>